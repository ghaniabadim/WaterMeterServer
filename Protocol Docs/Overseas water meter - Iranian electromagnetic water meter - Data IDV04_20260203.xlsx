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 firstSheet="1" activeTab="5"/>
  </bookViews>
  <sheets>
    <sheet name=" Edit history" sheetId="1" r:id="rId1"/>
    <sheet name=" Simple Data Objects" sheetId="10" r:id="rId2"/>
    <sheet name=" Composite data objects" sheetId="3" r:id="rId3"/>
    <sheet name=" Composite bit object" sheetId="4" r:id="rId4"/>
    <sheet name=" array of objects" sheetId="5" r:id="rId5"/>
    <sheet name=" Firmware upgrade" sheetId="6" r:id="rId6"/>
    <sheet name=" Record" sheetId="7" r:id="rId7"/>
    <sheet name=" Dataset ID" sheetId="8" r:id="rId8"/>
    <sheet name=" Set parameters for the whole t" sheetId="11" r:id="rId9"/>
  </sheets>
  <externalReferences>
    <externalReference r:id="rId10"/>
    <externalReference r:id="rId11"/>
    <externalReference r:id="rId12"/>
  </externalReferences>
  <definedNames>
    <definedName name="_xlnm._FilterDatabase" localSheetId="5" hidden="1">' Firmware upgrade'!$M$4:$M$19</definedName>
    <definedName name="_xlnm._FilterDatabase" localSheetId="7" hidden="1">[3]数据集ID!$A$4:$L$10</definedName>
    <definedName name="_xlnm._FilterDatabase" localSheetId="6" hidden="1">[1]记录!$B$4:$I$72</definedName>
    <definedName name="_xlnm._FilterDatabase" localSheetId="1" hidden="1">[2]简单数据对象!$A$1:$K$19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<sst xmlns="http://schemas.openxmlformats.org/spreadsheetml/2006/main" count="1927" uniqueCount="669">
  <si>
    <t>Version</t>
  </si>
  <si>
    <t>date</t>
  </si>
  <si>
    <t>ID</t>
  </si>
  <si>
    <t>Changes</t>
  </si>
  <si>
    <t>Remark</t>
  </si>
  <si>
    <t>V0.1</t>
  </si>
  <si>
    <t>2025.05.19</t>
  </si>
  <si>
    <t>First version V0.1</t>
  </si>
  <si>
    <t>Liu Yuzhi</t>
  </si>
  <si>
    <t>V0.2</t>
  </si>
  <si>
    <t>June 12, 2025</t>
  </si>
  <si>
    <t>Add electronic seal event records to the [Records] section.</t>
  </si>
  <si>
    <t>June 18, 2025</t>
  </si>
  <si>
    <t>B070H</t>
  </si>
  <si>
    <t>Alarm status words now include meter removal and strong magnetic interference status bits.</t>
  </si>
  <si>
    <t>June 24, 2025</t>
  </si>
  <si>
    <t>70C1H</t>
  </si>
  <si>
    <t>Delete data ID 70C1H and configure calendar type (Gregorian calendar or Persian calendar).</t>
  </si>
  <si>
    <t>June 27, 2025</t>
  </si>
  <si>
    <t>70DAH</t>
  </si>
  <si>
    <t>The pump control switch data ID has been changed from 4800H to 70DAH.</t>
  </si>
  <si>
    <t>2025.06.30</t>
  </si>
  <si>
    <t>70DEH</t>
  </si>
  <si>
    <t>Add a new one-click production cleanup command (backup) for clearing production parameters on the main control board.</t>
  </si>
  <si>
    <t>2025.07.11</t>
  </si>
  <si>
    <t>70BFH</t>
  </si>
  <si>
    <t>Remove 70BFH daylight saving time enable</t>
  </si>
  <si>
    <t>2025.07.14</t>
  </si>
  <si>
    <t>1060H</t>
  </si>
  <si>
    <t>Add command to read remote communication status</t>
  </si>
  <si>
    <t>2025.07.15</t>
  </si>
  <si>
    <t>70C0H</t>
  </si>
  <si>
    <t>1. The description for the Daylight Saving Time parameter configuration in version 1.70C0H has been added: Unit: 10 minutes, Range: [-12, 12]. Setting the time to 0 indicates that Daylight Saving Time is not activated. 2. "Remaining Allowed Usage" has been changed to "Remaining Allowed Usage for This Period". 3. The read/write attribute of the remaining amount (remaining recharge amount) has been changed from RW to R.</t>
  </si>
  <si>
    <t>2025.07.25</t>
  </si>
  <si>
    <t>Delete status bits: Water meter (flow meter) low battery event alarm (lithium battery voltage), pressure acquisition abnormality, pressure exceeding upper limit, pressure exceeding lower limit. Add status bits: Relay fault status.</t>
  </si>
  <si>
    <t>2025.08.05</t>
  </si>
  <si>
    <t>0018H</t>
  </si>
  <si>
    <t>Delete this data ID; 2G modules do not support reading module model.</t>
  </si>
  <si>
    <t>70C5H</t>
  </si>
  <si>
    <t>The number of bytes for time zone settings has been changed from 1 to 2, and the unit has been changed from 10 minutes to 1 minute. The range is now [-720, 840].</t>
  </si>
  <si>
    <t>2025.08.08</t>
  </si>
  <si>
    <t>Delete terminal identification sheet</t>
  </si>
  <si>
    <t>2025.08.11</t>
  </si>
  <si>
    <t>B06BH</t>
  </si>
  <si>
    <t>Change the water usage log data ID in minutes (restore to original). Delete 70C6H and 70C7H.</t>
  </si>
  <si>
    <t>Daylight saving time parameter configuration data ID is placed in a composite data object sheet.</t>
  </si>
  <si>
    <t>August 12, 2025</t>
  </si>
  <si>
    <t>70EEH</t>
  </si>
  <si>
    <t>Add the IDs of the 10 most recently occurring events.</t>
  </si>
  <si>
    <t>210BH</t>
  </si>
  <si>
    <t>For 2G communication, add 210BH CSQ-GPRS, delete 0033H RSRP, 0034H SINR. All data IDs containing sub-items 0033H and 0034H need to be re-applied for: delete A324H, A325H, and A326H, and re-applied for communication event data IDs 70EFH, 70F0H, and 70F1H; delete 70C3H and re-applied for data ID 70F2H.</t>
  </si>
  <si>
    <t>0039H</t>
  </si>
  <si>
    <t>The length has been changed to 4 bytes, and the unit has been changed to L/h.</t>
  </si>
  <si>
    <t>70F4H 70F5H</t>
  </si>
  <si>
    <t>Changes to data IDs for water usage cycles and allowed water consumption within a cycle: Delete 70BCH, add 70F4H data ID; Delete 70BDH, add 70F5H data ID.</t>
  </si>
  <si>
    <t>4705H 0049H</t>
  </si>
  <si>
    <t>Delete Data ID</t>
  </si>
  <si>
    <t>2025.08.15</t>
  </si>
  <si>
    <t>B038H</t>
  </si>
  <si>
    <t>Modify the value range and modify the default value.</t>
  </si>
  <si>
    <t>B047H</t>
  </si>
  <si>
    <t>Modify the value range</t>
  </si>
  <si>
    <t>B048H</t>
  </si>
  <si>
    <t>Modify default value</t>
  </si>
  <si>
    <t>B04FH</t>
  </si>
  <si>
    <t>B040H</t>
  </si>
  <si>
    <t>New</t>
  </si>
  <si>
    <t>B041H</t>
  </si>
  <si>
    <t>B050H</t>
  </si>
  <si>
    <t>Delete ID</t>
  </si>
  <si>
    <t>B051H</t>
  </si>
  <si>
    <t>V0.3</t>
  </si>
  <si>
    <t>2025.08.26</t>
  </si>
  <si>
    <t>70F5H</t>
  </si>
  <si>
    <t>Remove "Default 0xFFFFFFFFFF is unlimited"</t>
  </si>
  <si>
    <t>2012H</t>
  </si>
  <si>
    <t>The default customer APN is empty (all 0s).</t>
  </si>
  <si>
    <t>0061H</t>
  </si>
  <si>
    <t>2025.9.23</t>
  </si>
  <si>
    <t>21B4H</t>
  </si>
  <si>
    <t>Remove the "1 - Exit without modification" function.</t>
  </si>
  <si>
    <t>B04DH</t>
  </si>
  <si>
    <t>Change read/write attribute to read-only</t>
  </si>
  <si>
    <t>V0.4</t>
  </si>
  <si>
    <t>2026.1.29</t>
  </si>
  <si>
    <t>7129H</t>
  </si>
  <si>
    <t>Ding Zhongwa</t>
  </si>
  <si>
    <t>Notes: 1. For data ID read/write permissions in different modes and scenarios, if √, the permission is consistent with the data ID itself; if R, it indicates read-only permission; if W, it indicates write-only permission; if blank, it indicates no read/write permission; if empty in all scenarios, it means that the data ID does not support standalone read/write operations; 2. Unless otherwise specified, big-endian format is used.</t>
  </si>
  <si>
    <t>Data terminal</t>
  </si>
  <si>
    <t>Analysis</t>
  </si>
  <si>
    <t>Command Function</t>
  </si>
  <si>
    <t>inheritID</t>
  </si>
  <si>
    <t>Chinese name</t>
  </si>
  <si>
    <t>Data types</t>
  </si>
  <si>
    <t>Magnification</t>
  </si>
  <si>
    <t>Read and write attributes</t>
  </si>
  <si>
    <t>length</t>
  </si>
  <si>
    <t>describe</t>
  </si>
  <si>
    <t>Production mode</t>
  </si>
  <si>
    <t>Customer Model</t>
  </si>
  <si>
    <t>local</t>
  </si>
  <si>
    <t>remote</t>
  </si>
  <si>
    <r>
      <t>Business data</t>
    </r>
    <r>
      <rPr>
        <b/>
        <u/>
        <sz val="10"/>
        <color rgb="FFFF0000"/>
        <rFont val="Times New Roman"/>
        <charset val="134"/>
      </rPr>
      <t>Unencrypted</t>
    </r>
  </si>
  <si>
    <r>
      <t>Business data</t>
    </r>
    <r>
      <rPr>
        <b/>
        <u/>
        <sz val="10"/>
        <color rgb="FFFF0000"/>
        <rFont val="Times New Roman"/>
        <charset val="134"/>
      </rPr>
      <t>encryption</t>
    </r>
  </si>
  <si>
    <t>Measurement and settlement</t>
  </si>
  <si>
    <t>B023H</t>
  </si>
  <si>
    <t>Positive cumulative amount</t>
  </si>
  <si>
    <t>Unsigned integer</t>
  </si>
  <si>
    <t>×1</t>
  </si>
  <si>
    <t>RW</t>
  </si>
  <si>
    <t>Unit L, unsigned integer</t>
  </si>
  <si>
    <t>√</t>
  </si>
  <si>
    <t>Measurement</t>
  </si>
  <si>
    <t>1) The cumulative amount for both directions is reset to zero at the factory. 2) Parameters written in customer mode require the electronic seal to be removed.</t>
  </si>
  <si>
    <t>B024H</t>
  </si>
  <si>
    <t>Reverse cumulative</t>
  </si>
  <si>
    <t>Terminal operating parameters</t>
  </si>
  <si>
    <t>0002H</t>
  </si>
  <si>
    <t>clock</t>
  </si>
  <si>
    <t>BCD code integer</t>
  </si>
  <si>
    <t>business</t>
  </si>
  <si>
    <t>The first frame contains</t>
  </si>
  <si>
    <t>001BH</t>
  </si>
  <si>
    <t>Event Code</t>
  </si>
  <si>
    <t>R</t>
  </si>
  <si>
    <t>Unsigned integer, used only as a sub-item ID in a record, does not support individual access.</t>
  </si>
  <si>
    <t>21B0H</t>
  </si>
  <si>
    <t>Event Code Subdivision Event</t>
  </si>
  <si>
    <t>An unsigned integer, used only as an ID for a sub-item in a record, and does not support individual access.</t>
  </si>
  <si>
    <t>70B5H</t>
  </si>
  <si>
    <t>Pump operating time</t>
  </si>
  <si>
    <t>Unit h</t>
  </si>
  <si>
    <t>Terminal configuration parameters</t>
  </si>
  <si>
    <t>4211H</t>
  </si>
  <si>
    <t>Main controller version number</t>
  </si>
  <si>
    <t>BCD code</t>
  </si>
  <si>
    <t>2001H</t>
  </si>
  <si>
    <t>Software version (metric version)</t>
  </si>
  <si>
    <t>Not open to customers</t>
  </si>
  <si>
    <t>A100H</t>
  </si>
  <si>
    <t>Work mode</t>
  </si>
  <si>
    <t>0: Production mode; 1: Customer mode</t>
  </si>
  <si>
    <t>Cut-only mode, no need to pass through to the metering board.</t>
  </si>
  <si>
    <t>power supply</t>
  </si>
  <si>
    <t>0004H</t>
  </si>
  <si>
    <t>Battery voltage (mains power)</t>
  </si>
  <si>
    <t>×1000</t>
  </si>
  <si>
    <t>Unsigned integer (HEX), unit 0.001V</t>
  </si>
  <si>
    <t>0006H</t>
  </si>
  <si>
    <t>Backup power voltage</t>
  </si>
  <si>
    <t>B03FH</t>
  </si>
  <si>
    <t>Instantaneous flow</t>
  </si>
  <si>
    <t>Signed integers</t>
  </si>
  <si>
    <t>×100</t>
  </si>
  <si>
    <t>Signed integer, unit: 0.01 L/h, for example, 1600, is 16.00 L/h.</t>
  </si>
  <si>
    <t>Production</t>
  </si>
  <si>
    <t>2197H</t>
  </si>
  <si>
    <t>One-click cleanup command for production</t>
  </si>
  <si>
    <t>W</t>
  </si>
  <si>
    <t>Unsigned integer (HEX). Cleans up statistics in production mode, including event logs, water usage logs, runtime, etc. 1 command is valid.</t>
  </si>
  <si>
    <t>One-click cleanup command for production (backup)</t>
  </si>
  <si>
    <t>Clearing freeze, events, remaining allowable usage for this period, additional usage for this period, remaining quantity, pump operating time, etc., for in-plant use only.</t>
  </si>
  <si>
    <t>B01BH</t>
  </si>
  <si>
    <t>RS485 baud rate</t>
  </si>
  <si>
    <r>
      <t xml:space="preserve"> The default value is 9600, in bps, with a range of 1200/2400/4800/9600.</t>
    </r>
    <r>
      <rPr>
        <sz val="12"/>
        <color rgb="FFFF0000"/>
        <rFont val="Times New Roman"/>
        <charset val="134"/>
      </rPr>
      <t>Synchronize with infrared communication baud rate settings</t>
    </r>
  </si>
  <si>
    <t>0066H</t>
  </si>
  <si>
    <t>Local communication key (formerly known as: Maintain Default Key)</t>
  </si>
  <si>
    <t>ASCII strings</t>
  </si>
  <si>
    <t>16 bytes</t>
  </si>
  <si>
    <t>0067H</t>
  </si>
  <si>
    <t>Remote communication key (formerly known as: client default key)</t>
  </si>
  <si>
    <t>The remote key is readable locally; the first 4 bytes and the last 4 bytes are hidden, while the middle 8 bytes are hidden.</t>
  </si>
  <si>
    <r>
      <t xml:space="preserve"> Average instantaneous flow</t>
    </r>
    <r>
      <rPr>
        <sz val="12"/>
        <color rgb="FFFF0000"/>
        <rFont val="Times New Roman"/>
        <charset val="134"/>
      </rPr>
      <t>(Average daily traffic)</t>
    </r>
  </si>
  <si>
    <t>Average daily flow rate, in L/h. For example, 1600 represents 16.00 L/h. 0x7FFFFFFF indicates an anomaly.</t>
  </si>
  <si>
    <t>70B6H</t>
  </si>
  <si>
    <t>Valve/pump action configuration when the event occurs</t>
  </si>
  <si>
    <t>2-byte configuration bits, each bit represents: 0 - pump not shut off, 1 - pump off. Bit 0: Isolation door open, default 0 - pump not shut off. Bit 1: Exceeding maximum allowable water consumption, default 1 - pump off. Bit 2: Disconnecting the water meter power cable, default 1 - pump off. Bit 3: Disconnecting the pump control cable, default 1 - pump off (unused, no cable signal detected). Bit 4: Insufficient balance, default 1 - pump off. Bit 5: Meter disconnection, default 1 - pump off. Bit 6: Strong magnetic interference, default 1 - pump off.</t>
  </si>
  <si>
    <t>70B9H</t>
  </si>
  <si>
    <t>Remaining allowable usage for this period</t>
  </si>
  <si>
    <t>Unit 10L</t>
  </si>
  <si>
    <t>70BAH</t>
  </si>
  <si>
    <t>Additional usage this period</t>
  </si>
  <si>
    <t>70BBH</t>
  </si>
  <si>
    <t>Maximum daily traffic</t>
  </si>
  <si>
    <t>The unit is 10L/h, for example: 16 means 160L/h.</t>
  </si>
  <si>
    <t>70BEH</t>
  </si>
  <si>
    <t>Production date</t>
  </si>
  <si>
    <t>Production date: 0 if not set (year, month, day).</t>
  </si>
  <si>
    <t>Time zone settings</t>
  </si>
  <si>
    <t>The unit is min; for example, setting it to 60 means +60 min. The range is [-720, 840].</t>
  </si>
  <si>
    <t>Configure the calendar type (Gregorian calendar or Persian calendar).</t>
  </si>
  <si>
    <t>0 - Gregorian calendar, 1 - Persian calendar (default is 1 - Persian calendar)</t>
  </si>
  <si>
    <t>Valve/Pump Control</t>
  </si>
  <si>
    <t>0 - Exit lock, 1 - Lock open, 2 - Lock closed, other values are invalid.</t>
  </si>
  <si>
    <t>0027H</t>
  </si>
  <si>
    <t>Remaining amount (remaining recharge amount)</t>
  </si>
  <si>
    <t>Unit L</t>
  </si>
  <si>
    <t>70C9H</t>
  </si>
  <si>
    <t>STS Key Settings</t>
  </si>
  <si>
    <t>HEX</t>
  </si>
  <si>
    <t>The default form number is preceded by four digits, which are manually entered, e.g., 0000. Form number: 282007300167; STS key = 0000282007300167</t>
  </si>
  <si>
    <t>communication</t>
  </si>
  <si>
    <t>0028H</t>
  </si>
  <si>
    <t>Start remote communication (start remote communication from local communication)</t>
  </si>
  <si>
    <t>1 - Triggers a remote communication request; otherwise, it is invalid. This command is only valid for local communication (meaning local communication initiates remote communication). It is automatically cleared to 0 after this remote communication request is triggered.</t>
  </si>
  <si>
    <t>Read remote communication status</t>
  </si>
  <si>
    <r>
      <t xml:space="preserve"> 0: Not started; 1: Communicating; 2: Communication successful; 3: Communication failed;</t>
    </r>
    <r>
      <rPr>
        <sz val="12"/>
        <color rgb="FFFF0000"/>
        <rFont val="Times New Roman"/>
        <charset val="134"/>
      </rPr>
      <t>For internal factory use, data can be reported to the designated server; no data interaction is required.</t>
    </r>
  </si>
  <si>
    <t>Electronic Seal</t>
  </si>
  <si>
    <t>2079H</t>
  </si>
  <si>
    <t>Electronic seal status</t>
  </si>
  <si>
    <t>Unsigned integer: 0: Seal not open; 1: Seal closed; 2: Status set.</t>
  </si>
  <si>
    <t>Not shown to customers</t>
  </si>
  <si>
    <t>21B2H</t>
  </si>
  <si>
    <t>Unlock Hardware Seal Password</t>
  </si>
  <si>
    <t>Confirm or exit the sealing command</t>
  </si>
  <si>
    <r>
      <t>0: Confirm changes and exit.</t>
    </r>
    <r>
      <rPr>
        <strike/>
        <sz val="12"/>
        <color rgb="FFFF0000"/>
        <rFont val="Times New Roman"/>
        <charset val="134"/>
      </rPr>
      <t>1: Exit without making any changes.</t>
    </r>
    <r>
      <rPr>
        <sz val="12"/>
        <rFont val="Times New Roman"/>
        <charset val="134"/>
      </rPr>
      <t>Other reservations</t>
    </r>
  </si>
  <si>
    <t>001DH</t>
  </si>
  <si>
    <t>Modify Person Information</t>
  </si>
  <si>
    <t>An ASCII string used to record information about the person who modified the electronic seal during the process. It is only used as a sub-item ID in the record and does not support individual access.</t>
  </si>
  <si>
    <t>21B5H</t>
  </si>
  <si>
    <t>Electronic Seal Password</t>
  </si>
  <si>
    <t>The electronic seal password is only used as the ID for a sub-item in the record and will not be accessed independently.</t>
  </si>
  <si>
    <t>CSQ-GPRS</t>
  </si>
  <si>
    <t>200EH</t>
  </si>
  <si>
    <t>Peak shifting interval time (peak shifting coefficient)</t>
  </si>
  <si>
    <r>
      <t>The default value is 6.</t>
    </r>
    <r>
      <rPr>
        <sz val="12"/>
        <color rgb="FFFF0000"/>
        <rFont val="Times New Roman"/>
        <charset val="134"/>
      </rPr>
      <t>Data range 0 ~ 10, no peak shift at time 0.</t>
    </r>
    <r>
      <rPr>
        <sz val="12"/>
        <rFont val="Times New Roman"/>
        <charset val="134"/>
      </rPr>
      <t>;</t>
    </r>
  </si>
  <si>
    <t>0016H</t>
  </si>
  <si>
    <t>IMEI (Module IMEI Number)</t>
  </si>
  <si>
    <t>Module IMEI number</t>
  </si>
  <si>
    <t>Module model</t>
  </si>
  <si>
    <t>A013H</t>
  </si>
  <si>
    <t>IMSI</t>
  </si>
  <si>
    <t>200AH</t>
  </si>
  <si>
    <t>SIM card information (ICCID)</t>
  </si>
  <si>
    <t>20 bytes, corresponding to the SIM card's ICCID</t>
  </si>
  <si>
    <t>Customer APN</t>
  </si>
  <si>
    <t>If the value is less than 0, add 0s to the end; otherwise, leave the string empty (all zeros).</t>
  </si>
  <si>
    <t>Producing APN</t>
  </si>
  <si>
    <t>If the value is less than 0, add zeros to the end; the default value is "cmnet".</t>
  </si>
  <si>
    <t>B055H</t>
  </si>
  <si>
    <t>Freeze interval (minutes)</t>
  </si>
  <si>
    <t>Values are limited to 30, 60, 90, and 120, in minutes, with a default of 60 minutes.</t>
  </si>
  <si>
    <t>B065H</t>
  </si>
  <si>
    <t>Minute-by-minute freeze on positive cumulative volume (remote reporting)</t>
  </si>
  <si>
    <t>Unit: 10L, unsigned integer, 0xFFFFFFFFFF indicates an exception. As a sub-item ID, it will not be accessed individually.</t>
  </si>
  <si>
    <t>B056H</t>
  </si>
  <si>
    <t>Minute-by-minute freeze on reverse cumulative volume (remote reporting)</t>
  </si>
  <si>
    <t>B077H</t>
  </si>
  <si>
    <t>Daily frozen positive cumulative amount (remote reporting)</t>
  </si>
  <si>
    <t>B078H</t>
  </si>
  <si>
    <t>Daily frozen reverse cumulative volume (remote reporting)</t>
  </si>
  <si>
    <t>B079H</t>
  </si>
  <si>
    <t>Current positive cumulative amount (remotely reported)</t>
  </si>
  <si>
    <t>B07AH</t>
  </si>
  <si>
    <t>Current reverse cumulative amount (remotely reported)</t>
  </si>
  <si>
    <t>B067H</t>
  </si>
  <si>
    <t>Instantaneous flow rate (remote reporting)</t>
  </si>
  <si>
    <t>The unit is 10L/h, for example: 16 represents 160L/h. This is used as a sub-item ID.</t>
  </si>
  <si>
    <t>B064H</t>
  </si>
  <si>
    <t>Terminal communication identification code</t>
  </si>
  <si>
    <t>Retrieve the last 6 bytes of the meter number</t>
  </si>
  <si>
    <t>Pipe diameter</t>
  </si>
  <si>
    <r>
      <t>Unsigned integers (HEX)</t>
    </r>
    <r>
      <rPr>
        <b/>
        <sz val="11"/>
        <color rgb="FFFF0000"/>
        <rFont val="Times New Roman"/>
        <charset val="134"/>
      </rPr>
      <t>Default 1000</t>
    </r>
    <r>
      <rPr>
        <sz val="11"/>
        <color rgb="FFFF0000"/>
        <rFont val="Times New Roman"/>
        <charset val="134"/>
      </rPr>
      <t>Unit: 0.1mm. Diameter range: 250, 320, 400, 500, 650, 800, 1000, 1250, 1500, 2000, 2500, 3000, 3200, 3500, 4000, 4500, 5000, 6000, 7000, 8000, 9000, 10000</t>
    </r>
  </si>
  <si>
    <t>Writing parameters in client mode requires removing the electronic seal.</t>
  </si>
  <si>
    <t>A204H</t>
  </si>
  <si>
    <t>Standard mode or test mode</t>
  </si>
  <si>
    <t>Unsigned integer (HEX). 0 - Standard 1 - Test</t>
  </si>
  <si>
    <t>2192H</t>
  </si>
  <si>
    <t>Water meter types (metering principle)</t>
  </si>
  <si>
    <t>Unsigned Integer (HEX) 1-Single-Jet Rotary Type 2-Multi-Jet Rotary Type 3-Ultrasonic 4-Electromagnetic 5-Insertion Ultrasonic Flow Meter</t>
  </si>
  <si>
    <t>Dry/Wet type (referring to mechanical water meters): 1 - indicates dry type; 2 - indicates wet type; 0 - indicates this field is meaningless and will not be parsed.</t>
  </si>
  <si>
    <t>21B7H</t>
  </si>
  <si>
    <t>Start Zero Drift Self-Learning</t>
  </si>
  <si>
    <t>Unsigned integer (HEX). 0: Off 1: On</t>
  </si>
  <si>
    <t>0029H</t>
  </si>
  <si>
    <t>Water meter zero drift self-learning state</t>
  </si>
  <si>
    <t>0 - Zero-drift self-learning not enabled or self-learning failed; 1 - Zero-drift self-learning in progress; 2 - Self-learning completed (successful).</t>
  </si>
  <si>
    <t>0037H</t>
  </si>
  <si>
    <t>Start of calibration form</t>
  </si>
  <si>
    <t>1- The meter starts counting the average instantaneous flow; this command is invalid for other purposes. This command is only valid for local communication. Upon receiving this command, the meter resets the average instantaneous flow to zero.</t>
  </si>
  <si>
    <t>0038H</t>
  </si>
  <si>
    <t>End of Checklist</t>
  </si>
  <si>
    <t>1 - This command is only valid for local communication and will not be used for other purposes. It ends the statistical calculation of average instantaneous traffic.</t>
  </si>
  <si>
    <t>B045H</t>
  </si>
  <si>
    <t>Set the calibration flow direction</t>
  </si>
  <si>
    <t>0 indicates corrected flow, 1 indicates corrected reverse flow, other values are invalid. Default is 0.</t>
  </si>
  <si>
    <t>B019H</t>
  </si>
  <si>
    <t>Wired pulse configuration</t>
  </si>
  <si>
    <t>uint8_t</t>
  </si>
  <si>
    <t>0 indicates no configuration, 1 indicates configuration, and others are invalid. The default is 0.</t>
  </si>
  <si>
    <t>B01AH</t>
  </si>
  <si>
    <t>Electronic watch pulse equivalent calibration</t>
  </si>
  <si>
    <t>uint32_t</t>
  </si>
  <si>
    <t>The default value is 100, the unit is ml, and the value range is 1-9999999.</t>
  </si>
  <si>
    <t>Overcurrent alarm threshold</t>
  </si>
  <si>
    <t>The default value for electromagnetic water meters is 1.25*Q3, and the default value for electromagnetic flow meters is 1.25qmax. The configuration range is 1000 ~ 999999999, unit: L/h.</t>
  </si>
  <si>
    <t>4704H</t>
  </si>
  <si>
    <t>Overcurrent detection enable switch</t>
  </si>
  <si>
    <t>Function enable switch: 0 - disabled; 1 - enabled. Default: 0.</t>
  </si>
  <si>
    <t>4707H</t>
  </si>
  <si>
    <t>Overcurrent alarm duration</t>
  </si>
  <si>
    <t>Value range: 1~255, default parameter 30, unit: minutes;</t>
  </si>
  <si>
    <t>2190H</t>
  </si>
  <si>
    <t>Reflux detection time interval</t>
  </si>
  <si>
    <t>Value range: 1~255, default parameter 3, unit: minutes;</t>
  </si>
  <si>
    <t>202FH</t>
  </si>
  <si>
    <t>Reverse current alarm enable</t>
  </si>
  <si>
    <t>0: Off; 1: On; Default is 0.</t>
  </si>
  <si>
    <t>Backflow alarm threshold</t>
  </si>
  <si>
    <t>The default value for electromagnetic water meters is 0.1*Q3; the default value for electromagnetic flow meters is 0.1*qmax, in L/h.</t>
  </si>
  <si>
    <t>B049H</t>
  </si>
  <si>
    <t>Reverse metering settings</t>
  </si>
  <si>
    <t>0 indicates not enabled, 1 indicates enabled, other values are invalid. Default is 1.</t>
  </si>
  <si>
    <t>B04AH</t>
  </si>
  <si>
    <t>Flow direction settings</t>
  </si>
  <si>
    <t>0: Forward; 1: Reverse. Default is 0.</t>
  </si>
  <si>
    <t>B04BH</t>
  </si>
  <si>
    <t>Air traffic control alarm threshold</t>
  </si>
  <si>
    <t>uint16_t</t>
  </si>
  <si>
    <r>
      <t>Value range: 1-65535, default value</t>
    </r>
    <r>
      <rPr>
        <strike/>
        <sz val="12"/>
        <color rgb="FFFF0000"/>
        <rFont val="Times New Roman"/>
        <charset val="134"/>
      </rPr>
      <t>1700</t>
    </r>
    <r>
      <rPr>
        <sz val="12"/>
        <color rgb="FFFF0000"/>
        <rFont val="Times New Roman"/>
        <charset val="134"/>
      </rPr>
      <t>300</t>
    </r>
    <r>
      <rPr>
        <sz val="12"/>
        <rFont val="Times New Roman"/>
        <charset val="134"/>
      </rPr>
      <t>Unit mv</t>
    </r>
  </si>
  <si>
    <t>B04CH</t>
  </si>
  <si>
    <t>Excitation alarm threshold</t>
  </si>
  <si>
    <t>Value range: 1-65535, default value: 50, unit: mv</t>
  </si>
  <si>
    <t>Range ratio (Q3/Q1)</t>
  </si>
  <si>
    <r>
      <t>The value range is 1 to 65535.</t>
    </r>
    <r>
      <rPr>
        <b/>
        <sz val="11"/>
        <color rgb="FFFF0000"/>
        <rFont val="Times New Roman"/>
        <charset val="134"/>
      </rPr>
      <t>The default value is 25.</t>
    </r>
    <r>
      <rPr>
        <sz val="11"/>
        <color rgb="FFFF0000"/>
        <rFont val="Times New Roman"/>
        <charset val="134"/>
      </rPr>
      <t>(Electromagnetic water meter)</t>
    </r>
  </si>
  <si>
    <t>B052H</t>
  </si>
  <si>
    <t>Measurement and collection cycle</t>
  </si>
  <si>
    <t>Value range: 1000~15000 (in increments of 1000), default 10000, unit: milliseconds.</t>
  </si>
  <si>
    <t>B07CH</t>
  </si>
  <si>
    <t>Electronic watch calibration pulse output enable</t>
  </si>
  <si>
    <t>Function enable switch: 0 - disabled; 1 - enabled, default is 0.</t>
  </si>
  <si>
    <t>B07FH</t>
  </si>
  <si>
    <t>Cumulative start-up filter flow threshold</t>
  </si>
  <si>
    <t>unsigned integers</t>
  </si>
  <si>
    <t>Default value Qs, unit 0.01L/h</t>
  </si>
  <si>
    <t>704CH</t>
  </si>
  <si>
    <t>Dynamic zero point value</t>
  </si>
  <si>
    <t>×10000</t>
  </si>
  <si>
    <t>Value range: -0.010m/s to 0.010m/s; default value: 0, unit: 0.0001m/s</t>
  </si>
  <si>
    <t>704DH</t>
  </si>
  <si>
    <t>Converter coefficients</t>
  </si>
  <si>
    <t>Default value is 10000, unit is 0.0001</t>
  </si>
  <si>
    <t>704EH</t>
  </si>
  <si>
    <t>Full scale setting value</t>
  </si>
  <si>
    <t>The default value for electromagnetic water meters is Q3, and the default value for electromagnetic flow meters is qmax, with units of 1L/h.</t>
  </si>
  <si>
    <t>704FH</t>
  </si>
  <si>
    <t>Empty pipe inspection value</t>
  </si>
  <si>
    <t>Initial value 0, unit mv</t>
  </si>
  <si>
    <t>7050H</t>
  </si>
  <si>
    <t>Electromagnetic water meter flow meter settings</t>
  </si>
  <si>
    <t>0: Electromagnetic water meter; 1: Electromagnetic flow meter. Default value: 0</t>
  </si>
  <si>
    <t>Notes: 1. For data ID read/write permissions in different modes and scenarios, if √, the permission is consistent with the data ID itself; if R, it indicates read-only permission; if W, it indicates write-only permission; if blank, it indicates no read/write permission. If all scenarios are blank, it means that the data ID does not support standalone read/write operations. 2. Composite data objects do not contain simple data objects.</t>
  </si>
  <si>
    <t>Sub-item Chinese name</t>
  </si>
  <si>
    <t>Sub-item length</t>
  </si>
  <si>
    <t>Sub-item description</t>
  </si>
  <si>
    <t>Business data is not encrypted</t>
  </si>
  <si>
    <r>
      <t>Business data</t>
    </r>
    <r>
      <rPr>
        <b/>
        <u/>
        <sz val="12"/>
        <color rgb="FFFF0000"/>
        <rFont val="Times New Roman"/>
        <charset val="134"/>
      </rPr>
      <t>encryption</t>
    </r>
  </si>
  <si>
    <t>2039H</t>
  </si>
  <si>
    <t>Composite form number(Used for handshakes)</t>
  </si>
  <si>
    <t>Terminal type</t>
  </si>
  <si>
    <t>During the local communication session handshake, the system fills this field with 0, and the meter does not parse this field.</t>
  </si>
  <si>
    <t>meter number length</t>
  </si>
  <si>
    <t>meter number length: If the highest bit is 1, it indicates that the meter number format is ASCII string, and the meter number length is 1~17; if the highest bit is 0, it indicates BCD, and the meter number length is 1~34; the default is BCD.</t>
  </si>
  <si>
    <t>meter No.</t>
  </si>
  <si>
    <t>meter number, BCD code, maximum 34-bit BCD.</t>
  </si>
  <si>
    <t>A102H</t>
  </si>
  <si>
    <t>Meter number parameters (production)(Used for the whole machine serial number)</t>
  </si>
  <si>
    <t>meter number length: If the highest bit is 1, it indicates that the meter number format is ASCII string, and the meter number length is 1~17; if the highest bit is 0, it indicates BCD, and the meter number length is 1~34; the default is BCD.The meter number is 7 bytes: 00000000 (serial number) 09 (customer code) 01 (electromagnetic water meter) 03 (using the Iranian calendar year, this year is Iranian year 1403). The water meter serial number is 4 bytes (00000000-99999999).</t>
  </si>
  <si>
    <t>The meter number content defaults to BCD, 34 bits, padded with zeros.</t>
  </si>
  <si>
    <t>B061H</t>
  </si>
  <si>
    <t>Scheduled parameter upload (high-frequency scheduled upload)</t>
  </si>
  <si>
    <t>Scheduled upload interval</t>
  </si>
  <si>
    <t>Unsigned integer (HEX), default parameter is 72, unit: 10 minutes. Data range: 1, 2, 3, 6, 12, 18, 24, 36, 48, 72, 144 (i.e., set to 10 minutes, 20 minutes, 30 minutes, 1 hour, 2 hours, 3 hours, 4 hours, 6 hours, 8 hours, 12 hours, 24 hours)</t>
  </si>
  <si>
    <t>Upload start time</t>
  </si>
  <si>
    <t>BCD</t>
  </si>
  <si>
    <t>BCD. hhmm indicates the start time of the scheduled upload. Default is 00:00.</t>
  </si>
  <si>
    <t>2007H</t>
  </si>
  <si>
    <t>Client server IPv4 address and port</t>
  </si>
  <si>
    <t>Collection service address IPv4</t>
  </si>
  <si>
    <t>ASCII code</t>
  </si>
  <si>
    <t>Data collection service address: padded with zeros if less than 16 bytes</t>
  </si>
  <si>
    <t>Data collection server port</t>
  </si>
  <si>
    <t>0065H</t>
  </si>
  <si>
    <t>Production server IPv4 address and port</t>
  </si>
  <si>
    <t>Production service address IPv4</t>
  </si>
  <si>
    <t>Production service address: padded with 0s if less than 16 bytes</t>
  </si>
  <si>
    <t>Production server port</t>
  </si>
  <si>
    <t>Daylight Saving Time Parameter Configuration</t>
  </si>
  <si>
    <t>Daylight Saving Time</t>
  </si>
  <si>
    <t>3-byte BCD code, start month, day, and hour of Daylight Saving Time: MMDDHH 3-byte BCD code, end month, day, and hour of Daylight Saving Time: MMDDHH Default start time: March 22, 00:00 - September 21, 00:00</t>
  </si>
  <si>
    <t>Daylight Saving Time Adjustment</t>
  </si>
  <si>
    <t>1-byte HEX, unit: 10 minutes, range [-12, 12]. For example: 0x0a represents +100 minutes, 0xFF represents -10 minutes. A time adjustment of 0 indicates that daylight saving time is not activated.</t>
  </si>
  <si>
    <t>70F4H</t>
  </si>
  <si>
    <t>Period start/end time</t>
  </si>
  <si>
    <t>Cycle start: MMDDHH; Cycle end: MMDDHH</t>
  </si>
  <si>
    <t>Permissible water consumption within the cycle</t>
  </si>
  <si>
    <t>A unit of 10L can be used to set a usage limit for one cycle, for example, 270F, which is 99990L.</t>
  </si>
  <si>
    <t>21B3H</t>
  </si>
  <si>
    <t>Unseal the electronic seal</t>
  </si>
  <si>
    <t>Operation mark</t>
  </si>
  <si>
    <t>0: Internal commands, 1: External commands (meter-side commands can be ignored for now)</t>
  </si>
  <si>
    <t>Not reflected to customers</t>
  </si>
  <si>
    <t>password</t>
  </si>
  <si>
    <t>Modified by</t>
  </si>
  <si>
    <t>Modifier information: 10-byte ASCII code</t>
  </si>
  <si>
    <t>B053H</t>
  </si>
  <si>
    <t>Zero flow threshold</t>
  </si>
  <si>
    <t>The upper limit threshold must be greater than or equal to the lower limit threshold.</t>
  </si>
  <si>
    <t>Unsigned integer magnification factor</t>
  </si>
  <si>
    <t>Unsigned integer (HEX), threshold value in test mode, unit 0.01L/h. Default value for electromagnetic water meters: 1/10 Q1; default value for electromagnetic flow meters: 0.03%qmax.</t>
  </si>
  <si>
    <t>Unsigned integer (HEX), threshold value in standard mode, unit 0.01 L/h. Default value for electromagnetic water meters: 1/2 Q1; default value for electromagnetic flow meters: 0.15%qmax.</t>
  </si>
  <si>
    <t>Unsigned integer (HEX), threshold value in standard mode, unit 0.01L/h. Electromagnetic water meter default value 1/3 Q1; electromagnetic flow meter default value 0.15%qmax.</t>
  </si>
  <si>
    <t>Set forward flow calibration parameters</t>
  </si>
  <si>
    <t>×10000000</t>
  </si>
  <si>
    <t>The original flow velocity is 0/uint32_t/*unit is 1.0E-7m/s*/</t>
  </si>
  <si>
    <t>Correction value 0 / uint16_t /*Unit is 0.0001*/</t>
  </si>
  <si>
    <t>The original flow velocity is 1/uint32_t /*unit is 1.0E-7m/s*/</t>
  </si>
  <si>
    <t>Correction value 1/uint16_t /*Unit is 0.0001*/</t>
  </si>
  <si>
    <t>Original flow velocity 2/uint32_t /*Unit is 1.0E-7m/s*/</t>
  </si>
  <si>
    <t>Correction value 2/uint16_t /*Unit is 0.0001*/</t>
  </si>
  <si>
    <t>Original flow velocity 3/uint32_t/*Unit: 1.0E-7m/s*/</t>
  </si>
  <si>
    <t>Correction value 3/uint16_t /*Unit is 0.0001*/</t>
  </si>
  <si>
    <t>Original flow velocity 4/uint32_t/*Unit: 1.0E-7m/s*/</t>
  </si>
  <si>
    <t>Correction value 4/uint16_t /*Unit is 0.0001*/</t>
  </si>
  <si>
    <t>Original flow velocity 5/uint32_t/*Unit: 1.0E-7m/s*/</t>
  </si>
  <si>
    <t>Correction value 5/uint16_t /*Unit is 0.0001*/</t>
  </si>
  <si>
    <t>The original flow velocity is 6/uint32_t/*unit is 1.0E-7m/s*/</t>
  </si>
  <si>
    <t>Correction value 6/uint16_t /*Unit is 0.0001*/</t>
  </si>
  <si>
    <t>The original flow velocity is 7/uint32_t/*unit is 1.0E-7m/s*/</t>
  </si>
  <si>
    <t>Correction value 7/uint16_t /*Unit is 0.0001*/</t>
  </si>
  <si>
    <t>Original flow velocity 8/uint32_t/*Unit: 1.0E-7m/s*/</t>
  </si>
  <si>
    <t>Correction value 8/uint16_t /*Unit is 0.0001*/</t>
  </si>
  <si>
    <t>Original flow velocity 9/uint32_t/*Unit: 1.0E-7m/s*/</t>
  </si>
  <si>
    <t>Correction value 9/uint16_t /*Unit is 0.0001*/</t>
  </si>
  <si>
    <t>Original flow velocity 10/uint32_t /*Unit: 1.0E-7m/s*/</t>
  </si>
  <si>
    <t>Correction value 10/uint16_t /*Unit is 0.0001*/</t>
  </si>
  <si>
    <t>Original flow velocity 11/uint32_t/*Unit: 1.0E-7m/s*/</t>
  </si>
  <si>
    <t>Correction value 11/uint16_t /*Unit is 0.0001*/</t>
  </si>
  <si>
    <t>Original flow velocity 12/uint32_t/*Unit: 1.0E-7m/s*/</t>
  </si>
  <si>
    <t>Correction value 12/uint16_t /*Unit is 0.0001*/</t>
  </si>
  <si>
    <t>Original flow velocity 13/uint32_t/*Unit: 1.0E-7m/s*/</t>
  </si>
  <si>
    <t>Correction value 13/uint16_t /*Unit is 0.0001*/</t>
  </si>
  <si>
    <t>Original flow velocity 14/uint32_t/*Unit: 1.0E-7m/s*/</t>
  </si>
  <si>
    <t>Correction value 14/uint16_t /*Unit is 0.0001*/</t>
  </si>
  <si>
    <t>Set reverse flow calibration parameters</t>
  </si>
  <si>
    <t>Electromagnetic zero drift self-learning value</t>
  </si>
  <si>
    <t>Zero drift value in standard mode</t>
  </si>
  <si>
    <t>The default value is 0.</t>
  </si>
  <si>
    <t>Zero drift value in test mode</t>
  </si>
  <si>
    <t>7061H</t>
  </si>
  <si>
    <t>Forward and reverse air tube voltage values</t>
  </si>
  <si>
    <t>R/W</t>
  </si>
  <si>
    <t>Voltage values for forward and reverse empty tube detection</t>
  </si>
  <si>
    <t>Forward empty tube voltage value</t>
  </si>
  <si>
    <t>The high 2 bytes store the positive open tube voltage value.</t>
  </si>
  <si>
    <t>Reverse tube voltage value</t>
  </si>
  <si>
    <t>The lower 2 bytes store the reverse open tube voltage value.</t>
  </si>
  <si>
    <t>upper and lower thresholds of tube voltage</t>
  </si>
  <si>
    <t>The upper threshold must be greater than or equal to the lower threshold.</t>
  </si>
  <si>
    <t>upper limit threshold of tube voltage</t>
  </si>
  <si>
    <t>Value range 1-65535, default 1800, unit mV</t>
  </si>
  <si>
    <t>Lower threshold of tube voltage</t>
  </si>
  <si>
    <t>Value range 1-65535, default 700, unit mV</t>
  </si>
  <si>
    <t>Note: 1. For data ID read/write permissions in different modes and scenarios, if √, the permission is consistent with the data ID itself; if R, it indicates read-only permission; if W, it indicates write-only permission; if blank, it indicates no read/write permission. If all scenarios are blank, it means that the data ID does not support standalone read/write operations.</t>
  </si>
  <si>
    <t>English name</t>
  </si>
  <si>
    <t>name</t>
  </si>
  <si>
    <t>byte sequence number</t>
  </si>
  <si>
    <t>Bit width</t>
  </si>
  <si>
    <t>Sub-item English name</t>
  </si>
  <si>
    <r>
      <t>Business data</t>
    </r>
    <r>
      <rPr>
        <b/>
        <u/>
        <sz val="11"/>
        <color rgb="FFFF0000"/>
        <rFont val="Times New Roman"/>
        <charset val="134"/>
      </rPr>
      <t>encryption</t>
    </r>
  </si>
  <si>
    <t>Alarm status words</t>
  </si>
  <si>
    <t>Flag: 1 - Valid; 0 - Invalid</t>
  </si>
  <si>
    <t>bit0</t>
  </si>
  <si>
    <t>Storage error</t>
  </si>
  <si>
    <t>bit1</t>
  </si>
  <si>
    <t>Traffic collection anomaly</t>
  </si>
  <si>
    <t>bit2</t>
  </si>
  <si>
    <t>Reserved</t>
  </si>
  <si>
    <t>bit3</t>
  </si>
  <si>
    <t>Low battery event alarm (lithium battery voltage)</t>
  </si>
  <si>
    <t>bit4</t>
  </si>
  <si>
    <t>Power lockout event alarm (lithium battery voltage)</t>
  </si>
  <si>
    <t>bit5</t>
  </si>
  <si>
    <t>bit6</t>
  </si>
  <si>
    <t>bit7</t>
  </si>
  <si>
    <t>External power access sign</t>
  </si>
  <si>
    <t>Water meter (flow meter) empty pipe alarm</t>
  </si>
  <si>
    <t>Water meter (flow meter) excitation alarm</t>
  </si>
  <si>
    <t>Low battery alarm for water meter (flow meter) (lithium battery voltage)</t>
  </si>
  <si>
    <t>Low signal strength of water meter (flow meter)</t>
  </si>
  <si>
    <t>Water meter (flow meter) measurement error</t>
  </si>
  <si>
    <t>Water meter (flow meter) backflow alarm</t>
  </si>
  <si>
    <t>Water meter (flow meter) alarm for abnormally high flow rate</t>
  </si>
  <si>
    <t>Pump switch status: 0 - Normally on, 1 - Off</t>
  </si>
  <si>
    <t>Disassemble</t>
  </si>
  <si>
    <t>strong magnetic interference</t>
  </si>
  <si>
    <t>Relay fault status</t>
  </si>
  <si>
    <t>Note: The object array will not be accessed individually, so there is no need to test the read and write operations of the object array.</t>
  </si>
  <si>
    <t>Element ID</t>
  </si>
  <si>
    <t>Number of elements</t>
  </si>
  <si>
    <t>70C6H</t>
  </si>
  <si>
    <t>Minute-by-minute water usage log positive cumulative amount</t>
  </si>
  <si>
    <t>Includes minute-by-minute water usage logs for a specified day, with varying lengths and 12-48 data entries.</t>
  </si>
  <si>
    <t>/</t>
  </si>
  <si>
    <t>70C7H</t>
  </si>
  <si>
    <t>Minute water usage log reverse cumulative amount</t>
  </si>
  <si>
    <t>B02DH</t>
  </si>
  <si>
    <t>Positive cumulative amount of daily water usage log</t>
  </si>
  <si>
    <t>Includes the positive cumulative amount frozen daily on the 31st of the specified month.</t>
  </si>
  <si>
    <t>B02EH</t>
  </si>
  <si>
    <t>Daily water usage log reverse cumulative amount</t>
  </si>
  <si>
    <t>Includes the reverse cumulative amount frozen daily on the 31st of the specified month.</t>
  </si>
  <si>
    <t>B02FH</t>
  </si>
  <si>
    <t>Positive cumulative monthly water usage log</t>
  </si>
  <si>
    <t>Includes the positive cumulative amount frozen for each of the 12 months of the specified year.</t>
  </si>
  <si>
    <t>B030H</t>
  </si>
  <si>
    <t>Monthly water usage log reverse cumulative amount</t>
  </si>
  <si>
    <t>Includes monthly frozen reverse accumulation for the specified year (12 months).</t>
  </si>
  <si>
    <t>Note: 1. For data ID read and write permissions in different modes and scenarios, if it is √, the permission is consistent with the data ID itself; if it is R, it means read-only permission; if it is W, it means write-only permission; if it is blank, it means no read or write permission; if it is blank in all scenarios, it means that the data ID does not support standalone read and write operations.</t>
  </si>
  <si>
    <t>Firmware upgrade</t>
  </si>
  <si>
    <t>Meter upgrade status</t>
  </si>
  <si>
    <t>The first byte indicates the firmware download status: 0 No firmware download; 1 Confirmed upgrade status; 2 Resuming interrupted download; 3 Firmware download complete, awaiting installation; 4 Firmware download failed; 5 Firmware installation successful; 6 Firmware installation failed. The second byte indicates a firmware download failure flag, which is only meaningful when the first byte is 4: 0 No firmware download or firmware download successful; 1 Firmware download failed, connection to upgrade server failed; 2 Firmware download failed, data interaction failed (other failures besides 1, 3, and 4); 3 Firmware download failed, firmware verification error; 4 Firmware download failed, firmware loading to Flash failed. Other bytes are reserved.</t>
  </si>
  <si>
    <t>Firmware information</t>
  </si>
  <si>
    <t>The server sends firmware upgrade information to the meter.</t>
  </si>
  <si>
    <t>Firmware version number</t>
  </si>
  <si>
    <t>Firmware size</t>
  </si>
  <si>
    <t>Firmware CRC32 verification</t>
  </si>
  <si>
    <t>Firmware segmentation parameters</t>
  </si>
  <si>
    <t>The instrument requests a firmware package from the server.</t>
  </si>
  <si>
    <t>Firmware package offset: refers to the offset relative to the entire firmware to be downloaded. For example, 0x400 indicates the 1Kth firmware file.</t>
  </si>
  <si>
    <t>Firmware package effective length</t>
  </si>
  <si>
    <t>Firmware package data structure</t>
  </si>
  <si>
    <t>The server responded with firmware package data.</t>
  </si>
  <si>
    <t>HEX string</t>
  </si>
  <si>
    <t>Firmware package offset address: the offset address relative to the program.</t>
  </si>
  <si>
    <t>Firmware package size</t>
  </si>
  <si>
    <t>N</t>
  </si>
  <si>
    <t>Firmware data</t>
  </si>
  <si>
    <t>Firmware package CRC16 check</t>
  </si>
  <si>
    <t>430C</t>
  </si>
  <si>
    <t>Server upgrade request</t>
  </si>
  <si>
    <t>Server request for upgrade</t>
  </si>
  <si>
    <t>The upgrade server sends an update to table 0x00: Do not upgrade; 0x01 confirms the upgrade flag.</t>
  </si>
  <si>
    <t>Target firmware version number</t>
  </si>
  <si>
    <t>Current firmware version number</t>
  </si>
  <si>
    <t>430E</t>
  </si>
  <si>
    <t>Upgrade status upload response</t>
  </si>
  <si>
    <t>The server responded with ID 4304.</t>
  </si>
  <si>
    <t>0x01 indicates that the upgrade server has confirmed receiving the upgrade status from the table.</t>
  </si>
  <si>
    <t>B03CH</t>
  </si>
  <si>
    <t>Force stop the upgrade</t>
  </si>
  <si>
    <t>The server was forced to stop upgrading.</t>
  </si>
  <si>
    <t>0x01This indicates that the server has been forced to stop the upgrade.</t>
  </si>
  <si>
    <t>Function Description</t>
  </si>
  <si>
    <t>Time stamp and sub-item ID</t>
  </si>
  <si>
    <t>Business data encryption</t>
  </si>
  <si>
    <t>Communication network abnormal event log</t>
  </si>
  <si>
    <t>21A2H</t>
  </si>
  <si>
    <t>YYMMDDhhmmss</t>
  </si>
  <si>
    <t>System error log -- Reset log</t>
  </si>
  <si>
    <t>100BH</t>
  </si>
  <si>
    <t>001CH</t>
  </si>
  <si>
    <t>Task ID</t>
  </si>
  <si>
    <t>Alarm Event Log -- Abnormal Alarm Event Log</t>
  </si>
  <si>
    <t>21A3H</t>
  </si>
  <si>
    <t>Business event log</t>
  </si>
  <si>
    <t>005AH</t>
  </si>
  <si>
    <t>Scheduled Remote Communication Log (GPRS) -- Scheduled Remote Communication Failure</t>
  </si>
  <si>
    <t>70EFH</t>
  </si>
  <si>
    <t>Manual remote communication log (GPRS)</t>
  </si>
  <si>
    <t>70F0H</t>
  </si>
  <si>
    <t>Scheduled remote transmission of communication logs not started (GPRS)</t>
  </si>
  <si>
    <t>70F1H</t>
  </si>
  <si>
    <t>Electronic seal modification of forward flow correction coefficient record</t>
  </si>
  <si>
    <t>B042H</t>
  </si>
  <si>
    <t>Electronic seal modification correction coefficient record</t>
  </si>
  <si>
    <t>Length is 198</t>
  </si>
  <si>
    <t>Original correction coefficient</t>
  </si>
  <si>
    <t>Modified correction coefficient</t>
  </si>
  <si>
    <t>Unseal the electronic seal password (the high two bytes of the issued password).</t>
  </si>
  <si>
    <t>Modify person's identity</t>
  </si>
  <si>
    <t>Electronic seal modification reverse flow correction coefficient record</t>
  </si>
  <si>
    <t>B043H</t>
  </si>
  <si>
    <t>Electronic seal modification positive cumulative record</t>
  </si>
  <si>
    <t>B039H</t>
  </si>
  <si>
    <t>Modified positive cumulative amount</t>
  </si>
  <si>
    <t>Electronic seal modification reverse cumulative record</t>
  </si>
  <si>
    <t>B03AH</t>
  </si>
  <si>
    <t>Modified reverse cumulative</t>
  </si>
  <si>
    <t>Electronic seal modification of pipe diameter record</t>
  </si>
  <si>
    <t>B03BH</t>
  </si>
  <si>
    <t>Modified pipe diameter</t>
  </si>
  <si>
    <t>Customer event log</t>
  </si>
  <si>
    <t>70C2H</t>
  </si>
  <si>
    <t>Recent events</t>
  </si>
  <si>
    <t>Minute-by-minute water usage log cumulative record</t>
  </si>
  <si>
    <t>70C8H</t>
  </si>
  <si>
    <t>Freeze data records for minutes</t>
  </si>
  <si>
    <t>YYMMDD</t>
  </si>
  <si>
    <t>YYMMDDHHMM</t>
  </si>
  <si>
    <t>B068H</t>
  </si>
  <si>
    <t>Reserve 1 byte</t>
  </si>
  <si>
    <t>Daily water usage log positive cumulative amount record</t>
  </si>
  <si>
    <t>B033H</t>
  </si>
  <si>
    <t>YYMM</t>
  </si>
  <si>
    <t>Daily water usage log reverse cumulative record</t>
  </si>
  <si>
    <t>B034H</t>
  </si>
  <si>
    <t>Monthly water usage log positive cumulative amount record</t>
  </si>
  <si>
    <t>B035H</t>
  </si>
  <si>
    <t>YY</t>
  </si>
  <si>
    <t>Monthly water usage log reverse cumulative record</t>
  </si>
  <si>
    <t>B036H</t>
  </si>
  <si>
    <t>Support function codes</t>
  </si>
  <si>
    <r>
      <t xml:space="preserve">Sub-item ID
</t>
    </r>
    <r>
      <rPr>
        <b/>
        <sz val="12"/>
        <rFont val="Times New Roman"/>
        <charset val="134"/>
      </rPr>
      <t>(</t>
    </r>
    <r>
      <rPr>
        <b/>
        <sz val="12"/>
        <color rgb="FFFF0000"/>
        <rFont val="Times New Roman"/>
        <charset val="134"/>
      </rPr>
      <t>Do not upload</t>
    </r>
    <r>
      <rPr>
        <b/>
        <sz val="12"/>
        <rFont val="Times New Roman"/>
        <charset val="134"/>
      </rPr>
      <t>)</t>
    </r>
  </si>
  <si>
    <t>21B8H</t>
  </si>
  <si>
    <t>Communication end frame</t>
  </si>
  <si>
    <t>Downward</t>
  </si>
  <si>
    <t>Total length 20. Sub-items of this product are not parsed.</t>
  </si>
  <si>
    <t>Remaining water volume (This field is reserved and will not be parsed by the table).</t>
  </si>
  <si>
    <t>000AH</t>
  </si>
  <si>
    <t>Overdraft status</t>
  </si>
  <si>
    <t>0010H</t>
  </si>
  <si>
    <t>Balance state</t>
  </si>
  <si>
    <t>000DH</t>
  </si>
  <si>
    <t>unit price</t>
  </si>
  <si>
    <t>000FH</t>
  </si>
  <si>
    <t>Remaining amount</t>
  </si>
  <si>
    <t>Up</t>
  </si>
  <si>
    <t>1. The first frame contains the following: real-time data (70F2H) + daily frozen data (B05CH) + alarm status word (B070H) + 10 most recent events (70EEH). 2. If the frozen data needs to be uploaded in packets, each packet must contain B064H.</t>
  </si>
  <si>
    <t>70F2H</t>
  </si>
  <si>
    <t>Terminal real-time data reporting</t>
  </si>
  <si>
    <t>System clock, BCD code, YYMMDDHHMMSS</t>
  </si>
  <si>
    <t>Main voltage, unsigned integer (HEX), unit 0.001V</t>
  </si>
  <si>
    <t>Backup power voltage, unsigned integer (HEX), unit 0.001V</t>
  </si>
  <si>
    <t>Positive cumulative amount, unit 10L, unsigned integer. Current positive cumulative amount of water meter.</t>
  </si>
  <si>
    <t>Reverse cumulative amount, unit 10L, unsigned integer. Current forward cumulative amount of water meter.</t>
  </si>
  <si>
    <t>Instantaneous flow rate, unit: 10L/h</t>
  </si>
  <si>
    <t>Remaining quantity, in liters (L)</t>
  </si>
  <si>
    <t>Total pump operating time, in hours, unsigned integer.</t>
  </si>
  <si>
    <t>Remaining allowance for this period, in units of 10L, unsigned integer.</t>
  </si>
  <si>
    <t>Additional usage amount for this period, in units of 10L, unsigned integer.</t>
  </si>
  <si>
    <t>The maximum daily flow rate over the past 24 hours, with the maximum daily flow rate in units of 10L/h. For example, 16 represents 160L/h.</t>
  </si>
  <si>
    <t>B05CH</t>
  </si>
  <si>
    <t>Daily frozen data reporting</t>
  </si>
  <si>
    <t>Daily frozen positive cumulative amount, unit 10L, unsigned integer. Daily cumulative positive flow rate of water meter.</t>
  </si>
  <si>
    <t>Daily frozen reverse cumulative amount, unit 10L, unsigned integer. Daily cumulative reverse flow of water meter.</t>
  </si>
  <si>
    <t>Alarm status word. Reported only when status changes.</t>
  </si>
  <si>
    <t>Recent events (10 items)</t>
  </si>
  <si>
    <t>Original Goldcard Industrial Electromagnetic Water Meter:</t>
  </si>
  <si>
    <t>Iranian electromagnetic water meters:</t>
  </si>
  <si>
    <t>Settings/Read:</t>
  </si>
  <si>
    <t>Read-only:</t>
  </si>
  <si>
    <t>Table No.</t>
  </si>
  <si>
    <t>Battery main voltage</t>
  </si>
  <si>
    <t>Battery backup voltage</t>
  </si>
  <si>
    <t>Current status word</t>
  </si>
  <si>
    <t>Main control software version</t>
  </si>
  <si>
    <t>Measurement software version</t>
  </si>
  <si>
    <t>Local communication key</t>
  </si>
  <si>
    <t>Remote communication key</t>
  </si>
  <si>
    <t>Clear positive and negative accumulations</t>
  </si>
  <si>
    <t>STS Key</t>
  </si>
  <si>
    <t>Set production date</t>
  </si>
  <si>
    <t>Daylight Saving Time Enabled</t>
  </si>
  <si>
    <t>Daylight Saving Time Configuration</t>
  </si>
  <si>
    <t>Customer communication IP address and port number</t>
  </si>
  <si>
    <t>Customer Communication APN</t>
  </si>
  <si>
    <t>Water meter type</t>
  </si>
  <si>
    <t>Range ratio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</si>
</sst>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55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rgb="FFFF0000"/>
      <name val="Times New Roman"/>
      <charset val="134"/>
    </font>
    <font>
      <b/>
      <sz val="14"/>
      <name val="Times New Roman"/>
      <charset val="134"/>
    </font>
    <font>
      <b/>
      <u/>
      <sz val="12"/>
      <name val="Times New Roman"/>
      <charset val="134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4"/>
      <name val="Times New Roman"/>
      <charset val="134"/>
    </font>
    <font>
      <strike/>
      <sz val="11"/>
      <color theme="1"/>
      <name val="宋体"/>
      <charset val="134"/>
      <scheme val="minor"/>
    </font>
    <font>
      <strike/>
      <sz val="12"/>
      <color theme="1"/>
      <name val="Times New Roman"/>
      <charset val="134"/>
    </font>
    <font>
      <strike/>
      <sz val="12"/>
      <name val="Times New Roman"/>
      <charset val="134"/>
    </font>
    <font>
      <strike/>
      <sz val="11"/>
      <color theme="1"/>
      <name val="Times New Roman"/>
      <charset val="134"/>
    </font>
    <font>
      <b/>
      <sz val="12"/>
      <color rgb="FFFF0000"/>
      <name val="Times New Roman"/>
      <charset val="134"/>
    </font>
    <font>
      <b/>
      <u/>
      <sz val="11"/>
      <name val="Times New Roman"/>
      <charset val="134"/>
    </font>
    <font>
      <sz val="12"/>
      <color indexed="8"/>
      <name val="Times New Roman"/>
      <charset val="134"/>
    </font>
    <font>
      <b/>
      <sz val="11"/>
      <color rgb="FFFF0000"/>
      <name val="Times New Roman"/>
      <charset val="134"/>
    </font>
    <font>
      <strike/>
      <sz val="11"/>
      <name val="Times New Roman"/>
      <charset val="134"/>
    </font>
    <font>
      <sz val="11"/>
      <name val="Times New Roman"/>
      <charset val="134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b/>
      <u/>
      <sz val="10"/>
      <name val="Times New Roman"/>
      <charset val="134"/>
    </font>
    <font>
      <sz val="10.5"/>
      <color rgb="FFFF0000"/>
      <name val="Times New Roman"/>
      <charset val="134"/>
    </font>
    <font>
      <sz val="12"/>
      <color rgb="FF000000"/>
      <name val="微软雅黑"/>
      <charset val="134"/>
    </font>
    <font>
      <b/>
      <sz val="11"/>
      <name val="Times New Roman"/>
      <charset val="134"/>
    </font>
    <font>
      <b/>
      <u/>
      <sz val="10"/>
      <color theme="1"/>
      <name val="Times New Roman"/>
      <charset val="134"/>
    </font>
    <font>
      <sz val="11"/>
      <color rgb="FFFF0000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0.5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u/>
      <sz val="10"/>
      <color rgb="FFFF0000"/>
      <name val="Times New Roman"/>
      <charset val="134"/>
    </font>
    <font>
      <strike/>
      <sz val="12"/>
      <color rgb="FFFF0000"/>
      <name val="Times New Roman"/>
      <charset val="134"/>
    </font>
    <font>
      <b/>
      <u/>
      <sz val="12"/>
      <color rgb="FFFF0000"/>
      <name val="Times New Roman"/>
      <charset val="134"/>
    </font>
    <font>
      <b/>
      <u/>
      <sz val="11"/>
      <color rgb="FFFF0000"/>
      <name val="Times New Roman"/>
      <charset val="134"/>
    </font>
    <font>
      <b/>
      <sz val="12"/>
      <name val="Times New Roman"/>
      <charset val="134"/>
    </font>
  </fonts>
  <fills count="4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DDDD"/>
        <bgColor rgb="FFEEEEEE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9" tint="0.399822992645039"/>
        <bgColor indexed="64"/>
      </patternFill>
    </fill>
    <fill>
      <patternFill patternType="solid">
        <fgColor theme="9" tint="0.399853511154515"/>
        <bgColor indexed="64"/>
      </patternFill>
    </fill>
    <fill>
      <patternFill patternType="solid">
        <fgColor theme="9" tint="0.399884029663991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1454817346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13" borderId="16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7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14" borderId="19" applyNumberFormat="0" applyAlignment="0" applyProtection="0">
      <alignment vertical="center"/>
    </xf>
    <xf numFmtId="0" fontId="38" fillId="15" borderId="20" applyNumberFormat="0" applyAlignment="0" applyProtection="0">
      <alignment vertical="center"/>
    </xf>
    <xf numFmtId="0" fontId="39" fillId="15" borderId="19" applyNumberFormat="0" applyAlignment="0" applyProtection="0">
      <alignment vertical="center"/>
    </xf>
    <xf numFmtId="0" fontId="40" fillId="16" borderId="21" applyNumberFormat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8" fillId="18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</cellStyleXfs>
  <cellXfs count="39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3" xfId="49" applyNumberFormat="1" applyFont="1" applyFill="1" applyBorder="1" applyAlignment="1">
      <alignment horizontal="center" vertical="center"/>
    </xf>
    <xf numFmtId="0" fontId="4" fillId="3" borderId="4" xfId="49" applyNumberFormat="1" applyFont="1" applyFill="1" applyBorder="1" applyAlignment="1">
      <alignment horizontal="center" vertical="center"/>
    </xf>
    <xf numFmtId="0" fontId="4" fillId="3" borderId="4" xfId="49" applyNumberFormat="1" applyFont="1" applyFill="1" applyBorder="1" applyAlignment="1">
      <alignment horizontal="center" vertical="center" wrapText="1"/>
    </xf>
    <xf numFmtId="0" fontId="4" fillId="3" borderId="3" xfId="49" applyNumberFormat="1" applyFont="1" applyFill="1" applyBorder="1" applyAlignment="1">
      <alignment horizontal="center" vertical="center" wrapText="1"/>
    </xf>
    <xf numFmtId="0" fontId="4" fillId="3" borderId="3" xfId="49" applyNumberFormat="1" applyFont="1" applyFill="1" applyBorder="1" applyAlignment="1">
      <alignment horizontal="center" vertical="top" wrapText="1"/>
    </xf>
    <xf numFmtId="0" fontId="4" fillId="3" borderId="5" xfId="49" applyNumberFormat="1" applyFont="1" applyFill="1" applyBorder="1" applyAlignment="1">
      <alignment horizontal="center" vertical="center"/>
    </xf>
    <xf numFmtId="0" fontId="4" fillId="3" borderId="5" xfId="49" applyNumberFormat="1" applyFont="1" applyFill="1" applyBorder="1" applyAlignment="1">
      <alignment horizontal="center" vertical="center" wrapText="1"/>
    </xf>
    <xf numFmtId="0" fontId="4" fillId="3" borderId="6" xfId="49" applyNumberFormat="1" applyFont="1" applyFill="1" applyBorder="1" applyAlignment="1">
      <alignment horizontal="center" vertical="top" wrapText="1"/>
    </xf>
    <xf numFmtId="0" fontId="4" fillId="3" borderId="7" xfId="49" applyNumberFormat="1" applyFont="1" applyFill="1" applyBorder="1" applyAlignment="1">
      <alignment horizontal="center" vertical="center"/>
    </xf>
    <xf numFmtId="0" fontId="4" fillId="3" borderId="7" xfId="49" applyNumberFormat="1" applyFont="1" applyFill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NumberFormat="1" applyFont="1" applyFill="1" applyBorder="1" applyAlignment="1">
      <alignment horizontal="center" vertical="center" wrapText="1"/>
    </xf>
    <xf numFmtId="0" fontId="5" fillId="0" borderId="7" xfId="49" applyNumberFormat="1" applyFont="1" applyFill="1" applyBorder="1" applyAlignment="1">
      <alignment horizontal="center" vertical="center" wrapText="1"/>
    </xf>
    <xf numFmtId="0" fontId="7" fillId="0" borderId="4" xfId="0" applyNumberFormat="1" applyFont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 wrapText="1"/>
    </xf>
    <xf numFmtId="0" fontId="5" fillId="0" borderId="5" xfId="0" applyNumberFormat="1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3" xfId="49" applyNumberFormat="1" applyFont="1" applyFill="1" applyBorder="1" applyAlignment="1">
      <alignment horizontal="center" vertical="center" wrapText="1"/>
    </xf>
    <xf numFmtId="0" fontId="7" fillId="0" borderId="5" xfId="0" applyNumberFormat="1" applyFont="1" applyBorder="1" applyAlignment="1">
      <alignment horizontal="center" vertical="center" wrapText="1"/>
    </xf>
    <xf numFmtId="0" fontId="5" fillId="0" borderId="5" xfId="0" applyNumberFormat="1" applyFont="1" applyBorder="1" applyAlignment="1">
      <alignment horizontal="center" vertical="center" wrapText="1"/>
    </xf>
    <xf numFmtId="0" fontId="5" fillId="0" borderId="7" xfId="0" applyNumberFormat="1" applyFont="1" applyFill="1" applyBorder="1" applyAlignment="1">
      <alignment horizontal="center" vertical="center" wrapText="1"/>
    </xf>
    <xf numFmtId="0" fontId="6" fillId="0" borderId="7" xfId="0" applyNumberFormat="1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5" fillId="0" borderId="3" xfId="49" applyNumberFormat="1" applyFont="1" applyFill="1" applyBorder="1" applyAlignment="1">
      <alignment horizontal="center" vertical="center"/>
    </xf>
    <xf numFmtId="0" fontId="6" fillId="0" borderId="3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8" fillId="0" borderId="3" xfId="0" applyNumberFormat="1" applyFont="1" applyBorder="1" applyAlignment="1">
      <alignment horizontal="center" vertical="center" wrapText="1"/>
    </xf>
    <xf numFmtId="0" fontId="5" fillId="0" borderId="3" xfId="49" applyNumberFormat="1" applyFont="1" applyFill="1" applyBorder="1" applyAlignment="1">
      <alignment horizontal="left" vertical="center"/>
    </xf>
    <xf numFmtId="0" fontId="5" fillId="0" borderId="3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5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0" borderId="3" xfId="49" applyNumberFormat="1" applyFont="1" applyFill="1" applyBorder="1" applyAlignment="1">
      <alignment horizontal="left" vertical="center" wrapText="1"/>
    </xf>
    <xf numFmtId="49" fontId="5" fillId="0" borderId="3" xfId="49" applyNumberFormat="1" applyFont="1" applyFill="1" applyBorder="1" applyAlignment="1">
      <alignment horizontal="center" vertical="center"/>
    </xf>
    <xf numFmtId="49" fontId="5" fillId="0" borderId="3" xfId="49" applyNumberFormat="1" applyFont="1" applyFill="1" applyBorder="1" applyAlignment="1">
      <alignment vertical="top" wrapText="1"/>
    </xf>
    <xf numFmtId="0" fontId="5" fillId="4" borderId="3" xfId="0" applyNumberFormat="1" applyFont="1" applyFill="1" applyBorder="1" applyAlignment="1">
      <alignment horizontal="center" vertical="center"/>
    </xf>
    <xf numFmtId="0" fontId="5" fillId="4" borderId="3" xfId="0" applyNumberFormat="1" applyFont="1" applyFill="1" applyBorder="1" applyAlignment="1">
      <alignment vertical="center"/>
    </xf>
    <xf numFmtId="0" fontId="5" fillId="0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NumberFormat="1" applyFont="1" applyFill="1" applyBorder="1" applyAlignment="1">
      <alignment horizontal="center" vertical="center"/>
    </xf>
    <xf numFmtId="0" fontId="5" fillId="5" borderId="3" xfId="49" applyNumberFormat="1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NumberFormat="1" applyFont="1" applyFill="1" applyBorder="1" applyAlignment="1">
      <alignment horizontal="center" vertical="center" wrapText="1"/>
    </xf>
    <xf numFmtId="0" fontId="5" fillId="0" borderId="3" xfId="49" applyFont="1" applyFill="1" applyBorder="1" applyAlignment="1">
      <alignment vertical="center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5" fillId="6" borderId="3" xfId="49" applyNumberFormat="1" applyFont="1" applyFill="1" applyBorder="1" applyAlignment="1">
      <alignment horizontal="center" vertical="center"/>
    </xf>
    <xf numFmtId="0" fontId="6" fillId="5" borderId="3" xfId="0" applyNumberFormat="1" applyFont="1" applyFill="1" applyBorder="1" applyAlignment="1">
      <alignment horizontal="center" vertical="center" wrapText="1"/>
    </xf>
    <xf numFmtId="0" fontId="0" fillId="7" borderId="0" xfId="0" applyFont="1" applyFill="1" applyBorder="1" applyAlignment="1">
      <alignment vertical="center"/>
    </xf>
    <xf numFmtId="0" fontId="9" fillId="7" borderId="0" xfId="0" applyFont="1" applyFill="1" applyBorder="1" applyAlignment="1">
      <alignment vertical="center"/>
    </xf>
    <xf numFmtId="0" fontId="1" fillId="0" borderId="6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5" fillId="0" borderId="8" xfId="0" applyNumberFormat="1" applyFont="1" applyFill="1" applyBorder="1" applyAlignment="1">
      <alignment horizontal="center" vertical="center" wrapText="1"/>
    </xf>
    <xf numFmtId="0" fontId="5" fillId="0" borderId="9" xfId="0" applyNumberFormat="1" applyFont="1" applyFill="1" applyBorder="1" applyAlignment="1">
      <alignment horizontal="center" vertical="center" wrapText="1"/>
    </xf>
    <xf numFmtId="0" fontId="5" fillId="0" borderId="10" xfId="0" applyNumberFormat="1" applyFont="1" applyFill="1" applyBorder="1" applyAlignment="1">
      <alignment horizontal="center" vertical="center" wrapText="1"/>
    </xf>
    <xf numFmtId="0" fontId="5" fillId="0" borderId="7" xfId="0" applyNumberFormat="1" applyFont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6" fillId="0" borderId="8" xfId="0" applyNumberFormat="1" applyFont="1" applyFill="1" applyBorder="1" applyAlignment="1">
      <alignment horizontal="center" vertical="center" wrapText="1"/>
    </xf>
    <xf numFmtId="0" fontId="6" fillId="0" borderId="9" xfId="0" applyNumberFormat="1" applyFont="1" applyFill="1" applyBorder="1" applyAlignment="1">
      <alignment horizontal="center" vertical="center" wrapText="1"/>
    </xf>
    <xf numFmtId="0" fontId="6" fillId="0" borderId="10" xfId="0" applyNumberFormat="1" applyFont="1" applyFill="1" applyBorder="1" applyAlignment="1">
      <alignment horizontal="center" vertical="center" wrapText="1"/>
    </xf>
    <xf numFmtId="0" fontId="6" fillId="0" borderId="3" xfId="0" applyNumberFormat="1" applyFont="1" applyFill="1" applyBorder="1" applyAlignment="1">
      <alignment horizontal="left" vertical="center" wrapText="1"/>
    </xf>
    <xf numFmtId="0" fontId="6" fillId="4" borderId="5" xfId="0" applyNumberFormat="1" applyFont="1" applyFill="1" applyBorder="1" applyAlignment="1">
      <alignment horizontal="center" vertical="center" wrapText="1"/>
    </xf>
    <xf numFmtId="0" fontId="7" fillId="4" borderId="9" xfId="0" applyNumberFormat="1" applyFont="1" applyFill="1" applyBorder="1" applyAlignment="1">
      <alignment horizontal="center" vertical="center" wrapText="1"/>
    </xf>
    <xf numFmtId="0" fontId="6" fillId="4" borderId="3" xfId="0" applyNumberFormat="1" applyFont="1" applyFill="1" applyBorder="1" applyAlignment="1">
      <alignment horizontal="center" vertical="center" wrapText="1"/>
    </xf>
    <xf numFmtId="0" fontId="6" fillId="4" borderId="3" xfId="0" applyNumberFormat="1" applyFont="1" applyFill="1" applyBorder="1" applyAlignment="1">
      <alignment horizontal="left" vertical="center" wrapText="1"/>
    </xf>
    <xf numFmtId="0" fontId="6" fillId="4" borderId="3" xfId="0" applyNumberFormat="1" applyFont="1" applyFill="1" applyBorder="1" applyAlignment="1">
      <alignment vertical="center" wrapText="1"/>
    </xf>
    <xf numFmtId="0" fontId="7" fillId="4" borderId="3" xfId="0" applyNumberFormat="1" applyFont="1" applyFill="1" applyBorder="1" applyAlignment="1">
      <alignment horizontal="center" vertical="center" wrapText="1"/>
    </xf>
    <xf numFmtId="0" fontId="7" fillId="4" borderId="3" xfId="0" applyNumberFormat="1" applyFont="1" applyFill="1" applyBorder="1" applyAlignment="1">
      <alignment vertical="center" wrapText="1"/>
    </xf>
    <xf numFmtId="0" fontId="6" fillId="8" borderId="4" xfId="0" applyNumberFormat="1" applyFont="1" applyFill="1" applyBorder="1" applyAlignment="1">
      <alignment horizontal="center" vertical="center" wrapText="1"/>
    </xf>
    <xf numFmtId="0" fontId="6" fillId="8" borderId="5" xfId="0" applyNumberFormat="1" applyFont="1" applyFill="1" applyBorder="1" applyAlignment="1">
      <alignment horizontal="center" vertical="center" wrapText="1"/>
    </xf>
    <xf numFmtId="0" fontId="6" fillId="8" borderId="7" xfId="0" applyNumberFormat="1" applyFont="1" applyFill="1" applyBorder="1" applyAlignment="1">
      <alignment horizontal="center" vertical="center" wrapText="1"/>
    </xf>
    <xf numFmtId="0" fontId="6" fillId="7" borderId="4" xfId="0" applyNumberFormat="1" applyFont="1" applyFill="1" applyBorder="1" applyAlignment="1">
      <alignment horizontal="center" vertical="center" wrapText="1"/>
    </xf>
    <xf numFmtId="0" fontId="6" fillId="7" borderId="3" xfId="0" applyNumberFormat="1" applyFont="1" applyFill="1" applyBorder="1" applyAlignment="1">
      <alignment horizontal="center" vertical="center" wrapText="1"/>
    </xf>
    <xf numFmtId="0" fontId="6" fillId="7" borderId="3" xfId="0" applyNumberFormat="1" applyFont="1" applyFill="1" applyBorder="1" applyAlignment="1">
      <alignment horizontal="left" vertical="center" wrapText="1"/>
    </xf>
    <xf numFmtId="0" fontId="5" fillId="7" borderId="3" xfId="0" applyNumberFormat="1" applyFont="1" applyFill="1" applyBorder="1" applyAlignment="1">
      <alignment horizontal="center" vertical="center" wrapText="1"/>
    </xf>
    <xf numFmtId="0" fontId="1" fillId="7" borderId="0" xfId="0" applyFont="1" applyFill="1" applyBorder="1" applyAlignment="1">
      <alignment vertical="center" wrapText="1"/>
    </xf>
    <xf numFmtId="0" fontId="6" fillId="7" borderId="5" xfId="0" applyNumberFormat="1" applyFont="1" applyFill="1" applyBorder="1" applyAlignment="1">
      <alignment horizontal="center" vertical="center" wrapText="1"/>
    </xf>
    <xf numFmtId="0" fontId="6" fillId="7" borderId="7" xfId="0" applyNumberFormat="1" applyFont="1" applyFill="1" applyBorder="1" applyAlignment="1">
      <alignment horizontal="center" vertical="center" wrapText="1"/>
    </xf>
    <xf numFmtId="0" fontId="10" fillId="7" borderId="4" xfId="0" applyNumberFormat="1" applyFont="1" applyFill="1" applyBorder="1" applyAlignment="1">
      <alignment horizontal="center" vertical="center" wrapText="1"/>
    </xf>
    <xf numFmtId="0" fontId="11" fillId="7" borderId="8" xfId="0" applyNumberFormat="1" applyFont="1" applyFill="1" applyBorder="1" applyAlignment="1">
      <alignment horizontal="center" vertical="center" wrapText="1"/>
    </xf>
    <xf numFmtId="0" fontId="10" fillId="7" borderId="3" xfId="0" applyNumberFormat="1" applyFont="1" applyFill="1" applyBorder="1" applyAlignment="1">
      <alignment horizontal="center" vertical="center" wrapText="1"/>
    </xf>
    <xf numFmtId="0" fontId="10" fillId="7" borderId="3" xfId="0" applyNumberFormat="1" applyFont="1" applyFill="1" applyBorder="1" applyAlignment="1">
      <alignment horizontal="left" vertical="center" wrapText="1"/>
    </xf>
    <xf numFmtId="0" fontId="11" fillId="7" borderId="5" xfId="0" applyNumberFormat="1" applyFont="1" applyFill="1" applyBorder="1" applyAlignment="1">
      <alignment horizontal="center" vertical="center" wrapText="1"/>
    </xf>
    <xf numFmtId="0" fontId="11" fillId="7" borderId="4" xfId="0" applyNumberFormat="1" applyFont="1" applyFill="1" applyBorder="1" applyAlignment="1">
      <alignment horizontal="center" vertical="center" wrapText="1"/>
    </xf>
    <xf numFmtId="0" fontId="12" fillId="7" borderId="0" xfId="0" applyFont="1" applyFill="1" applyBorder="1" applyAlignment="1">
      <alignment vertical="center" wrapText="1"/>
    </xf>
    <xf numFmtId="0" fontId="10" fillId="7" borderId="5" xfId="0" applyNumberFormat="1" applyFont="1" applyFill="1" applyBorder="1" applyAlignment="1">
      <alignment horizontal="center" vertical="center" wrapText="1"/>
    </xf>
    <xf numFmtId="0" fontId="11" fillId="7" borderId="9" xfId="0" applyNumberFormat="1" applyFont="1" applyFill="1" applyBorder="1" applyAlignment="1">
      <alignment horizontal="center" vertical="center" wrapText="1"/>
    </xf>
    <xf numFmtId="0" fontId="10" fillId="7" borderId="7" xfId="0" applyNumberFormat="1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left" vertical="center" wrapText="1"/>
    </xf>
    <xf numFmtId="0" fontId="11" fillId="7" borderId="7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14" fillId="3" borderId="2" xfId="49" applyNumberFormat="1" applyFont="1" applyFill="1" applyBorder="1" applyAlignment="1">
      <alignment horizontal="center" vertical="top" wrapText="1"/>
    </xf>
    <xf numFmtId="0" fontId="14" fillId="3" borderId="3" xfId="49" applyNumberFormat="1" applyFont="1" applyFill="1" applyBorder="1" applyAlignment="1">
      <alignment horizontal="center" vertical="top" wrapText="1"/>
    </xf>
    <xf numFmtId="0" fontId="6" fillId="0" borderId="3" xfId="0" applyNumberFormat="1" applyFont="1" applyBorder="1" applyAlignment="1">
      <alignment horizontal="center" vertical="center" wrapText="1"/>
    </xf>
    <xf numFmtId="0" fontId="6" fillId="0" borderId="3" xfId="0" applyNumberFormat="1" applyFont="1" applyBorder="1" applyAlignment="1">
      <alignment horizontal="left" vertical="center" wrapText="1"/>
    </xf>
    <xf numFmtId="0" fontId="6" fillId="0" borderId="4" xfId="0" applyNumberFormat="1" applyFont="1" applyBorder="1" applyAlignment="1">
      <alignment horizontal="center" vertical="center" wrapText="1"/>
    </xf>
    <xf numFmtId="0" fontId="5" fillId="0" borderId="4" xfId="49" applyNumberFormat="1" applyFont="1" applyFill="1" applyBorder="1" applyAlignment="1">
      <alignment horizontal="center" vertical="center" wrapText="1"/>
    </xf>
    <xf numFmtId="0" fontId="6" fillId="0" borderId="5" xfId="0" applyNumberFormat="1" applyFont="1" applyBorder="1" applyAlignment="1">
      <alignment horizontal="center" vertical="center" wrapText="1"/>
    </xf>
    <xf numFmtId="0" fontId="5" fillId="0" borderId="5" xfId="49" applyNumberFormat="1" applyFont="1" applyFill="1" applyBorder="1" applyAlignment="1">
      <alignment horizontal="center" vertical="center" wrapText="1"/>
    </xf>
    <xf numFmtId="0" fontId="6" fillId="0" borderId="7" xfId="0" applyNumberFormat="1" applyFont="1" applyBorder="1" applyAlignment="1">
      <alignment horizontal="center" vertical="center" wrapText="1"/>
    </xf>
    <xf numFmtId="0" fontId="15" fillId="0" borderId="11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vertical="center" wrapText="1"/>
    </xf>
    <xf numFmtId="0" fontId="6" fillId="0" borderId="3" xfId="0" applyNumberFormat="1" applyFont="1" applyBorder="1" applyAlignment="1">
      <alignment vertical="center" wrapText="1"/>
    </xf>
    <xf numFmtId="0" fontId="12" fillId="0" borderId="0" xfId="0" applyFont="1">
      <alignment vertical="center"/>
    </xf>
    <xf numFmtId="0" fontId="16" fillId="0" borderId="0" xfId="0" applyFont="1" applyAlignment="1">
      <alignment horizontal="left" vertical="center"/>
    </xf>
    <xf numFmtId="0" fontId="4" fillId="3" borderId="3" xfId="49" applyNumberFormat="1" applyFont="1" applyFill="1" applyBorder="1" applyAlignment="1">
      <alignment vertical="center"/>
    </xf>
    <xf numFmtId="0" fontId="11" fillId="7" borderId="3" xfId="0" applyNumberFormat="1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/>
    </xf>
    <xf numFmtId="0" fontId="11" fillId="7" borderId="3" xfId="0" applyNumberFormat="1" applyFont="1" applyFill="1" applyBorder="1" applyAlignment="1">
      <alignment vertical="center" wrapText="1"/>
    </xf>
    <xf numFmtId="0" fontId="17" fillId="0" borderId="4" xfId="0" applyNumberFormat="1" applyFont="1" applyFill="1" applyBorder="1" applyAlignment="1">
      <alignment horizontal="center" vertical="center"/>
    </xf>
    <xf numFmtId="0" fontId="17" fillId="0" borderId="5" xfId="0" applyNumberFormat="1" applyFont="1" applyFill="1" applyBorder="1" applyAlignment="1">
      <alignment horizontal="center" vertical="center"/>
    </xf>
    <xf numFmtId="0" fontId="6" fillId="0" borderId="6" xfId="0" applyNumberFormat="1" applyFont="1" applyFill="1" applyBorder="1" applyAlignment="1">
      <alignment horizontal="center" vertical="center" wrapText="1"/>
    </xf>
    <xf numFmtId="0" fontId="18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2" fillId="0" borderId="0" xfId="0" applyFont="1" applyFill="1">
      <alignment vertical="center"/>
    </xf>
    <xf numFmtId="0" fontId="16" fillId="0" borderId="0" xfId="0" applyFont="1" applyAlignment="1">
      <alignment horizontal="left" vertical="center" wrapText="1"/>
    </xf>
    <xf numFmtId="0" fontId="5" fillId="0" borderId="10" xfId="0" applyNumberFormat="1" applyFont="1" applyFill="1" applyBorder="1" applyAlignment="1">
      <alignment horizontal="center" vertical="center"/>
    </xf>
    <xf numFmtId="0" fontId="6" fillId="0" borderId="4" xfId="0" applyNumberFormat="1" applyFont="1" applyFill="1" applyBorder="1" applyAlignment="1">
      <alignment horizontal="center" vertical="center"/>
    </xf>
    <xf numFmtId="0" fontId="6" fillId="0" borderId="7" xfId="0" applyNumberFormat="1" applyFont="1" applyFill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6" fillId="0" borderId="4" xfId="0" applyNumberFormat="1" applyFont="1" applyBorder="1" applyAlignment="1">
      <alignment horizontal="center" vertical="center"/>
    </xf>
    <xf numFmtId="0" fontId="6" fillId="0" borderId="2" xfId="0" applyNumberFormat="1" applyFont="1" applyFill="1" applyBorder="1" applyAlignment="1">
      <alignment horizontal="center" vertical="center"/>
    </xf>
    <xf numFmtId="0" fontId="6" fillId="0" borderId="3" xfId="0" applyNumberFormat="1" applyFont="1" applyFill="1" applyBorder="1" applyAlignment="1">
      <alignment horizontal="center" vertical="center"/>
    </xf>
    <xf numFmtId="0" fontId="6" fillId="0" borderId="5" xfId="0" applyNumberFormat="1" applyFont="1" applyFill="1" applyBorder="1" applyAlignment="1">
      <alignment horizontal="center" vertical="center"/>
    </xf>
    <xf numFmtId="0" fontId="6" fillId="0" borderId="5" xfId="0" applyNumberFormat="1" applyFont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12" fillId="9" borderId="3" xfId="0" applyFont="1" applyFill="1" applyBorder="1">
      <alignment vertical="center"/>
    </xf>
    <xf numFmtId="0" fontId="6" fillId="0" borderId="3" xfId="0" applyNumberFormat="1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1" fillId="7" borderId="3" xfId="0" applyFont="1" applyFill="1" applyBorder="1">
      <alignment vertical="center"/>
    </xf>
    <xf numFmtId="0" fontId="1" fillId="10" borderId="3" xfId="0" applyFont="1" applyFill="1" applyBorder="1">
      <alignment vertical="center"/>
    </xf>
    <xf numFmtId="0" fontId="1" fillId="4" borderId="3" xfId="0" applyFont="1" applyFill="1" applyBorder="1">
      <alignment vertical="center"/>
    </xf>
    <xf numFmtId="0" fontId="6" fillId="0" borderId="7" xfId="0" applyNumberFormat="1" applyFont="1" applyBorder="1" applyAlignment="1">
      <alignment horizontal="center" vertical="center"/>
    </xf>
    <xf numFmtId="0" fontId="19" fillId="0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vertical="center"/>
    </xf>
    <xf numFmtId="0" fontId="19" fillId="0" borderId="0" xfId="0" applyFont="1">
      <alignment vertical="center"/>
    </xf>
    <xf numFmtId="0" fontId="19" fillId="7" borderId="0" xfId="0" applyFont="1" applyFill="1">
      <alignment vertical="center"/>
    </xf>
    <xf numFmtId="0" fontId="19" fillId="4" borderId="0" xfId="0" applyFont="1" applyFill="1">
      <alignment vertical="center"/>
    </xf>
    <xf numFmtId="0" fontId="19" fillId="0" borderId="0" xfId="0" applyFont="1" applyFill="1">
      <alignment vertical="center"/>
    </xf>
    <xf numFmtId="0" fontId="20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Font="1" applyFill="1">
      <alignment vertical="center"/>
    </xf>
    <xf numFmtId="0" fontId="3" fillId="11" borderId="3" xfId="0" applyFont="1" applyFill="1" applyBorder="1" applyAlignment="1">
      <alignment horizontal="center" vertical="center" wrapText="1"/>
    </xf>
    <xf numFmtId="0" fontId="21" fillId="3" borderId="3" xfId="49" applyNumberFormat="1" applyFont="1" applyFill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center" wrapText="1"/>
    </xf>
    <xf numFmtId="0" fontId="4" fillId="3" borderId="2" xfId="49" applyNumberFormat="1" applyFont="1" applyFill="1" applyBorder="1" applyAlignment="1">
      <alignment horizontal="center" vertical="top" wrapText="1"/>
    </xf>
    <xf numFmtId="0" fontId="5" fillId="0" borderId="3" xfId="0" applyNumberFormat="1" applyFont="1" applyFill="1" applyBorder="1" applyAlignment="1">
      <alignment horizontal="left" vertical="center" wrapText="1"/>
    </xf>
    <xf numFmtId="0" fontId="5" fillId="0" borderId="6" xfId="0" applyNumberFormat="1" applyFont="1" applyFill="1" applyBorder="1" applyAlignment="1">
      <alignment horizontal="center" vertical="center" wrapText="1"/>
    </xf>
    <xf numFmtId="0" fontId="6" fillId="0" borderId="3" xfId="0" applyNumberFormat="1" applyFont="1" applyFill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vertical="center" wrapText="1"/>
    </xf>
    <xf numFmtId="0" fontId="5" fillId="7" borderId="4" xfId="49" applyNumberFormat="1" applyFont="1" applyFill="1" applyBorder="1" applyAlignment="1">
      <alignment horizontal="center" vertical="center" wrapText="1"/>
    </xf>
    <xf numFmtId="0" fontId="5" fillId="7" borderId="4" xfId="0" applyNumberFormat="1" applyFont="1" applyFill="1" applyBorder="1" applyAlignment="1">
      <alignment horizontal="center" vertical="center" wrapText="1"/>
    </xf>
    <xf numFmtId="0" fontId="5" fillId="7" borderId="3" xfId="0" applyNumberFormat="1" applyFont="1" applyFill="1" applyBorder="1" applyAlignment="1">
      <alignment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7" borderId="7" xfId="49" applyNumberFormat="1" applyFont="1" applyFill="1" applyBorder="1" applyAlignment="1">
      <alignment horizontal="center" vertical="center" wrapText="1"/>
    </xf>
    <xf numFmtId="0" fontId="5" fillId="7" borderId="7" xfId="0" applyNumberFormat="1" applyFont="1" applyFill="1" applyBorder="1" applyAlignment="1">
      <alignment horizontal="center" vertical="center" wrapText="1"/>
    </xf>
    <xf numFmtId="0" fontId="5" fillId="4" borderId="4" xfId="49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3" xfId="49" applyFont="1" applyFill="1" applyBorder="1" applyAlignment="1">
      <alignment horizontal="left" vertical="center" wrapText="1"/>
    </xf>
    <xf numFmtId="0" fontId="6" fillId="4" borderId="4" xfId="0" applyNumberFormat="1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5" fillId="4" borderId="7" xfId="49" applyNumberFormat="1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left" vertical="center" wrapText="1"/>
    </xf>
    <xf numFmtId="0" fontId="6" fillId="4" borderId="7" xfId="0" applyNumberFormat="1" applyFont="1" applyFill="1" applyBorder="1" applyAlignment="1">
      <alignment horizontal="center" vertical="center" wrapText="1"/>
    </xf>
    <xf numFmtId="0" fontId="5" fillId="4" borderId="5" xfId="49" applyNumberFormat="1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6" fillId="8" borderId="3" xfId="0" applyNumberFormat="1" applyFont="1" applyFill="1" applyBorder="1" applyAlignment="1">
      <alignment horizontal="center" vertical="center" wrapText="1"/>
    </xf>
    <xf numFmtId="0" fontId="7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4" xfId="0" applyNumberFormat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top" wrapText="1"/>
    </xf>
    <xf numFmtId="0" fontId="7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5" xfId="0" applyNumberFormat="1" applyFont="1" applyFill="1" applyBorder="1" applyAlignment="1">
      <alignment horizontal="center" vertical="center" wrapText="1"/>
    </xf>
    <xf numFmtId="0" fontId="6" fillId="0" borderId="5" xfId="0" applyNumberFormat="1" applyFont="1" applyFill="1" applyBorder="1" applyAlignment="1">
      <alignment horizontal="center" vertical="top" wrapText="1"/>
    </xf>
    <xf numFmtId="0" fontId="7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7" xfId="0" applyNumberFormat="1" applyFont="1" applyFill="1" applyBorder="1" applyAlignment="1">
      <alignment horizontal="center" vertical="center" wrapText="1"/>
    </xf>
    <xf numFmtId="0" fontId="6" fillId="0" borderId="7" xfId="0" applyNumberFormat="1" applyFont="1" applyFill="1" applyBorder="1" applyAlignment="1">
      <alignment horizontal="center" vertical="top" wrapText="1"/>
    </xf>
    <xf numFmtId="0" fontId="6" fillId="0" borderId="3" xfId="0" applyNumberFormat="1" applyFont="1" applyFill="1" applyBorder="1" applyAlignment="1">
      <alignment vertical="center" wrapText="1"/>
    </xf>
    <xf numFmtId="0" fontId="5" fillId="8" borderId="3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3" xfId="0" applyFont="1" applyFill="1" applyBorder="1" applyAlignment="1">
      <alignment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2" fillId="0" borderId="3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Font="1" applyBorder="1">
      <alignment vertical="center"/>
    </xf>
    <xf numFmtId="0" fontId="18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1" fillId="10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8" fillId="0" borderId="0" xfId="0" applyFont="1" applyFill="1" applyAlignment="1">
      <alignment horizontal="center" vertical="center" wrapText="1"/>
    </xf>
    <xf numFmtId="0" fontId="24" fillId="2" borderId="0" xfId="0" applyFont="1" applyFill="1" applyAlignment="1">
      <alignment horizontal="center" vertical="center" wrapText="1"/>
    </xf>
    <xf numFmtId="0" fontId="18" fillId="11" borderId="3" xfId="0" applyFont="1" applyFill="1" applyBorder="1" applyAlignment="1">
      <alignment horizontal="center" vertical="center" wrapText="1"/>
    </xf>
    <xf numFmtId="0" fontId="18" fillId="11" borderId="6" xfId="0" applyFont="1" applyFill="1" applyBorder="1" applyAlignment="1">
      <alignment horizontal="center" vertical="center" wrapText="1"/>
    </xf>
    <xf numFmtId="0" fontId="21" fillId="3" borderId="3" xfId="49" applyNumberFormat="1" applyFont="1" applyFill="1" applyBorder="1" applyAlignment="1">
      <alignment horizontal="center" vertical="center" wrapText="1"/>
    </xf>
    <xf numFmtId="0" fontId="21" fillId="3" borderId="3" xfId="49" applyNumberFormat="1" applyFont="1" applyFill="1" applyBorder="1" applyAlignment="1">
      <alignment horizontal="left" vertical="center" wrapText="1"/>
    </xf>
    <xf numFmtId="0" fontId="21" fillId="3" borderId="6" xfId="49" applyNumberFormat="1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  <xf numFmtId="0" fontId="21" fillId="3" borderId="2" xfId="49" applyNumberFormat="1" applyFont="1" applyFill="1" applyBorder="1" applyAlignment="1">
      <alignment horizontal="center" vertical="center" wrapText="1"/>
    </xf>
    <xf numFmtId="0" fontId="25" fillId="3" borderId="3" xfId="49" applyNumberFormat="1" applyFont="1" applyFill="1" applyBorder="1" applyAlignment="1">
      <alignment horizontal="center" vertical="center" wrapText="1"/>
    </xf>
    <xf numFmtId="0" fontId="5" fillId="0" borderId="6" xfId="49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left" vertical="center"/>
    </xf>
    <xf numFmtId="0" fontId="5" fillId="0" borderId="1" xfId="49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/>
    </xf>
    <xf numFmtId="0" fontId="5" fillId="0" borderId="3" xfId="49" applyFont="1" applyFill="1" applyBorder="1" applyAlignment="1">
      <alignment horizontal="left" vertical="center" wrapText="1"/>
    </xf>
    <xf numFmtId="0" fontId="5" fillId="0" borderId="3" xfId="49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0" borderId="13" xfId="49" applyFont="1" applyFill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left" vertical="center"/>
    </xf>
    <xf numFmtId="0" fontId="5" fillId="0" borderId="4" xfId="49" applyFont="1" applyFill="1" applyBorder="1" applyAlignment="1">
      <alignment horizontal="left" vertical="center"/>
    </xf>
    <xf numFmtId="0" fontId="5" fillId="0" borderId="4" xfId="49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6" xfId="49" applyFont="1" applyFill="1" applyBorder="1" applyAlignment="1">
      <alignment horizontal="left" vertical="center" wrapText="1"/>
    </xf>
    <xf numFmtId="0" fontId="5" fillId="10" borderId="13" xfId="49" applyNumberFormat="1" applyFont="1" applyFill="1" applyBorder="1" applyAlignment="1">
      <alignment horizontal="center" vertical="center" wrapText="1"/>
    </xf>
    <xf numFmtId="0" fontId="5" fillId="10" borderId="3" xfId="0" applyNumberFormat="1" applyFont="1" applyFill="1" applyBorder="1" applyAlignment="1">
      <alignment horizontal="left" vertical="center"/>
    </xf>
    <xf numFmtId="0" fontId="5" fillId="10" borderId="6" xfId="49" applyFont="1" applyFill="1" applyBorder="1" applyAlignment="1">
      <alignment horizontal="left" vertical="center" wrapText="1"/>
    </xf>
    <xf numFmtId="0" fontId="5" fillId="10" borderId="3" xfId="0" applyFont="1" applyFill="1" applyBorder="1" applyAlignment="1">
      <alignment horizontal="left" vertical="center" wrapText="1"/>
    </xf>
    <xf numFmtId="0" fontId="5" fillId="10" borderId="3" xfId="0" applyFont="1" applyFill="1" applyBorder="1" applyAlignment="1">
      <alignment horizontal="left" vertical="center"/>
    </xf>
    <xf numFmtId="0" fontId="5" fillId="10" borderId="3" xfId="49" applyFont="1" applyFill="1" applyBorder="1" applyAlignment="1">
      <alignment horizontal="left" vertical="center" wrapText="1"/>
    </xf>
    <xf numFmtId="0" fontId="5" fillId="10" borderId="3" xfId="49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vertical="center" wrapText="1"/>
    </xf>
    <xf numFmtId="0" fontId="5" fillId="0" borderId="6" xfId="49" applyFont="1" applyFill="1" applyBorder="1" applyAlignment="1">
      <alignment horizontal="left" vertical="center"/>
    </xf>
    <xf numFmtId="0" fontId="5" fillId="0" borderId="6" xfId="49" applyNumberFormat="1" applyFont="1" applyFill="1" applyBorder="1" applyAlignment="1">
      <alignment horizontal="center" vertical="center" wrapText="1"/>
    </xf>
    <xf numFmtId="0" fontId="5" fillId="0" borderId="3" xfId="49" applyFont="1" applyFill="1" applyBorder="1" applyAlignment="1">
      <alignment horizontal="left" vertical="center"/>
    </xf>
    <xf numFmtId="0" fontId="5" fillId="7" borderId="14" xfId="49" applyNumberFormat="1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left" vertical="center" wrapText="1"/>
    </xf>
    <xf numFmtId="0" fontId="5" fillId="7" borderId="6" xfId="49" applyFont="1" applyFill="1" applyBorder="1" applyAlignment="1">
      <alignment horizontal="left" vertical="center"/>
    </xf>
    <xf numFmtId="0" fontId="5" fillId="7" borderId="3" xfId="0" applyFont="1" applyFill="1" applyBorder="1" applyAlignment="1">
      <alignment horizontal="left" vertical="center"/>
    </xf>
    <xf numFmtId="0" fontId="5" fillId="7" borderId="3" xfId="49" applyFont="1" applyFill="1" applyBorder="1" applyAlignment="1">
      <alignment horizontal="left" vertical="center" wrapText="1"/>
    </xf>
    <xf numFmtId="0" fontId="5" fillId="7" borderId="3" xfId="49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0" borderId="14" xfId="49" applyNumberFormat="1" applyFont="1" applyFill="1" applyBorder="1" applyAlignment="1">
      <alignment horizontal="center" vertical="center" wrapText="1"/>
    </xf>
    <xf numFmtId="0" fontId="5" fillId="0" borderId="6" xfId="49" applyNumberFormat="1" applyFont="1" applyFill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7" borderId="3" xfId="49" applyNumberFormat="1" applyFont="1" applyFill="1" applyBorder="1" applyAlignment="1">
      <alignment horizontal="left" vertical="center"/>
    </xf>
    <xf numFmtId="0" fontId="6" fillId="7" borderId="3" xfId="0" applyFont="1" applyFill="1" applyBorder="1" applyAlignment="1">
      <alignment horizontal="left" vertical="center"/>
    </xf>
    <xf numFmtId="0" fontId="5" fillId="6" borderId="14" xfId="49" applyNumberFormat="1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left" vertical="center"/>
    </xf>
    <xf numFmtId="0" fontId="5" fillId="6" borderId="3" xfId="0" applyFont="1" applyFill="1" applyBorder="1" applyAlignment="1">
      <alignment horizontal="left" vertical="center" wrapText="1"/>
    </xf>
    <xf numFmtId="0" fontId="6" fillId="6" borderId="3" xfId="0" applyNumberFormat="1" applyFont="1" applyFill="1" applyBorder="1" applyAlignment="1">
      <alignment horizontal="left" vertical="center" wrapText="1"/>
    </xf>
    <xf numFmtId="0" fontId="5" fillId="6" borderId="3" xfId="49" applyNumberFormat="1" applyFont="1" applyFill="1" applyBorder="1" applyAlignment="1">
      <alignment horizontal="left" vertical="center" wrapText="1"/>
    </xf>
    <xf numFmtId="0" fontId="5" fillId="6" borderId="3" xfId="49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5" borderId="14" xfId="49" applyNumberFormat="1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6" borderId="3" xfId="49" applyFont="1" applyFill="1" applyBorder="1" applyAlignment="1">
      <alignment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5" fillId="5" borderId="3" xfId="49" applyFont="1" applyFill="1" applyBorder="1" applyAlignment="1">
      <alignment horizontal="left" vertical="center"/>
    </xf>
    <xf numFmtId="0" fontId="5" fillId="5" borderId="3" xfId="49" applyFont="1" applyFill="1" applyBorder="1" applyAlignment="1">
      <alignment horizontal="left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6" fillId="5" borderId="3" xfId="0" applyNumberFormat="1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left" vertical="center"/>
    </xf>
    <xf numFmtId="0" fontId="11" fillId="5" borderId="14" xfId="49" applyNumberFormat="1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left" vertical="center"/>
    </xf>
    <xf numFmtId="0" fontId="11" fillId="5" borderId="3" xfId="0" applyFont="1" applyFill="1" applyBorder="1" applyAlignment="1">
      <alignment horizontal="left" vertical="center" wrapText="1"/>
    </xf>
    <xf numFmtId="0" fontId="11" fillId="5" borderId="3" xfId="49" applyFont="1" applyFill="1" applyBorder="1" applyAlignment="1">
      <alignment horizontal="left" vertical="center" wrapText="1"/>
    </xf>
    <xf numFmtId="0" fontId="11" fillId="6" borderId="3" xfId="49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vertical="center" wrapText="1"/>
    </xf>
    <xf numFmtId="0" fontId="5" fillId="5" borderId="14" xfId="0" applyFont="1" applyFill="1" applyBorder="1" applyAlignment="1">
      <alignment horizontal="left" vertical="center"/>
    </xf>
    <xf numFmtId="0" fontId="5" fillId="5" borderId="14" xfId="0" applyFont="1" applyFill="1" applyBorder="1" applyAlignment="1">
      <alignment horizontal="left" vertical="center" wrapText="1"/>
    </xf>
    <xf numFmtId="0" fontId="5" fillId="5" borderId="3" xfId="54" applyFont="1" applyFill="1" applyBorder="1" applyAlignment="1">
      <alignment horizontal="left" vertical="center" wrapText="1"/>
    </xf>
    <xf numFmtId="0" fontId="5" fillId="5" borderId="14" xfId="49" applyFont="1" applyFill="1" applyBorder="1" applyAlignment="1">
      <alignment horizontal="left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0" borderId="14" xfId="49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5" fillId="7" borderId="6" xfId="49" applyFont="1" applyFill="1" applyBorder="1" applyAlignment="1">
      <alignment horizontal="center" vertical="top" wrapText="1"/>
    </xf>
    <xf numFmtId="0" fontId="5" fillId="7" borderId="3" xfId="54" applyNumberFormat="1" applyFont="1" applyFill="1" applyBorder="1" applyAlignment="1">
      <alignment horizontal="left" vertical="center"/>
    </xf>
    <xf numFmtId="0" fontId="5" fillId="7" borderId="6" xfId="49" applyNumberFormat="1" applyFont="1" applyFill="1" applyBorder="1" applyAlignment="1">
      <alignment horizontal="left" vertical="top"/>
    </xf>
    <xf numFmtId="0" fontId="5" fillId="7" borderId="3" xfId="54" applyFont="1" applyFill="1" applyBorder="1" applyAlignment="1">
      <alignment horizontal="left" vertical="center"/>
    </xf>
    <xf numFmtId="0" fontId="5" fillId="7" borderId="3" xfId="54" applyNumberFormat="1" applyFont="1" applyFill="1" applyBorder="1" applyAlignment="1">
      <alignment horizontal="left" vertical="center" wrapText="1"/>
    </xf>
    <xf numFmtId="0" fontId="5" fillId="7" borderId="3" xfId="49" applyNumberFormat="1" applyFont="1" applyFill="1" applyBorder="1" applyAlignment="1">
      <alignment horizontal="left" vertical="top"/>
    </xf>
    <xf numFmtId="0" fontId="5" fillId="7" borderId="3" xfId="54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vertical="center"/>
    </xf>
    <xf numFmtId="0" fontId="11" fillId="0" borderId="14" xfId="49" applyNumberFormat="1" applyFont="1" applyFill="1" applyBorder="1" applyAlignment="1">
      <alignment horizontal="center" vertical="center" wrapText="1"/>
    </xf>
    <xf numFmtId="0" fontId="11" fillId="0" borderId="3" xfId="49" applyNumberFormat="1" applyFont="1" applyFill="1" applyBorder="1" applyAlignment="1">
      <alignment horizontal="left" vertical="center"/>
    </xf>
    <xf numFmtId="0" fontId="11" fillId="0" borderId="3" xfId="49" applyFont="1" applyFill="1" applyBorder="1" applyAlignment="1">
      <alignment horizontal="left" vertical="center" wrapText="1"/>
    </xf>
    <xf numFmtId="0" fontId="11" fillId="0" borderId="3" xfId="0" applyFont="1" applyFill="1" applyBorder="1" applyAlignment="1">
      <alignment horizontal="left" vertical="center"/>
    </xf>
    <xf numFmtId="0" fontId="11" fillId="0" borderId="3" xfId="49" applyFont="1" applyFill="1" applyBorder="1" applyAlignment="1">
      <alignment horizontal="left" vertical="center"/>
    </xf>
    <xf numFmtId="0" fontId="11" fillId="0" borderId="3" xfId="49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7" fillId="0" borderId="3" xfId="49" applyNumberFormat="1" applyFont="1" applyFill="1" applyBorder="1" applyAlignment="1">
      <alignment horizontal="left" vertical="center" wrapText="1"/>
    </xf>
    <xf numFmtId="0" fontId="5" fillId="0" borderId="13" xfId="49" applyFont="1" applyFill="1" applyBorder="1" applyAlignment="1">
      <alignment horizontal="center" vertical="top" wrapText="1"/>
    </xf>
    <xf numFmtId="0" fontId="5" fillId="0" borderId="6" xfId="49" applyFont="1" applyFill="1" applyBorder="1" applyAlignment="1">
      <alignment horizontal="left" vertical="top" wrapText="1"/>
    </xf>
    <xf numFmtId="0" fontId="2" fillId="0" borderId="3" xfId="49" applyFont="1" applyFill="1" applyBorder="1" applyAlignment="1">
      <alignment horizontal="left" vertical="top" wrapText="1"/>
    </xf>
    <xf numFmtId="0" fontId="5" fillId="0" borderId="3" xfId="49" applyFont="1" applyFill="1" applyBorder="1" applyAlignment="1">
      <alignment horizontal="center" vertical="top" wrapText="1"/>
    </xf>
    <xf numFmtId="0" fontId="5" fillId="8" borderId="3" xfId="49" applyFont="1" applyFill="1" applyBorder="1" applyAlignment="1">
      <alignment horizontal="center" vertical="top" wrapText="1"/>
    </xf>
    <xf numFmtId="0" fontId="5" fillId="0" borderId="6" xfId="49" applyNumberFormat="1" applyFont="1" applyFill="1" applyBorder="1" applyAlignment="1">
      <alignment horizontal="center" vertical="top" wrapText="1"/>
    </xf>
    <xf numFmtId="0" fontId="5" fillId="0" borderId="6" xfId="49" applyFont="1" applyFill="1" applyBorder="1" applyAlignment="1">
      <alignment horizontal="left" vertical="top"/>
    </xf>
    <xf numFmtId="0" fontId="5" fillId="0" borderId="3" xfId="49" applyFont="1" applyFill="1" applyBorder="1" applyAlignment="1">
      <alignment horizontal="left" vertical="top"/>
    </xf>
    <xf numFmtId="0" fontId="5" fillId="8" borderId="3" xfId="49" applyFont="1" applyFill="1" applyBorder="1" applyAlignment="1">
      <alignment horizontal="center" vertical="center" wrapText="1"/>
    </xf>
    <xf numFmtId="0" fontId="5" fillId="0" borderId="3" xfId="49" applyFont="1" applyFill="1" applyBorder="1" applyAlignment="1">
      <alignment horizontal="center" vertical="top"/>
    </xf>
    <xf numFmtId="0" fontId="5" fillId="0" borderId="13" xfId="49" applyFont="1" applyFill="1" applyBorder="1" applyAlignment="1">
      <alignment horizontal="left" vertical="center"/>
    </xf>
    <xf numFmtId="0" fontId="5" fillId="0" borderId="3" xfId="49" applyNumberFormat="1" applyFont="1" applyFill="1" applyBorder="1" applyAlignment="1">
      <alignment horizontal="left" vertical="top" wrapText="1"/>
    </xf>
    <xf numFmtId="0" fontId="5" fillId="8" borderId="4" xfId="49" applyFont="1" applyFill="1" applyBorder="1" applyAlignment="1">
      <alignment horizontal="center" vertical="center" wrapText="1"/>
    </xf>
    <xf numFmtId="0" fontId="5" fillId="0" borderId="7" xfId="0" applyNumberFormat="1" applyFont="1" applyFill="1" applyBorder="1" applyAlignment="1">
      <alignment horizontal="left" vertical="center"/>
    </xf>
    <xf numFmtId="0" fontId="5" fillId="0" borderId="15" xfId="49" applyFont="1" applyFill="1" applyBorder="1" applyAlignment="1">
      <alignment horizontal="left" vertical="center"/>
    </xf>
    <xf numFmtId="0" fontId="5" fillId="0" borderId="7" xfId="49" applyFont="1" applyFill="1" applyBorder="1" applyAlignment="1">
      <alignment horizontal="left" vertical="center"/>
    </xf>
    <xf numFmtId="0" fontId="5" fillId="0" borderId="7" xfId="49" applyFont="1" applyFill="1" applyBorder="1" applyAlignment="1">
      <alignment horizontal="center" vertical="center" wrapText="1"/>
    </xf>
    <xf numFmtId="0" fontId="5" fillId="8" borderId="5" xfId="49" applyFont="1" applyFill="1" applyBorder="1" applyAlignment="1">
      <alignment horizontal="center" vertical="center" wrapText="1"/>
    </xf>
    <xf numFmtId="0" fontId="5" fillId="0" borderId="3" xfId="49" applyFont="1" applyFill="1" applyBorder="1" applyAlignment="1">
      <alignment horizontal="left" vertical="top" wrapText="1"/>
    </xf>
    <xf numFmtId="0" fontId="5" fillId="0" borderId="3" xfId="49" applyNumberFormat="1" applyFont="1" applyFill="1" applyBorder="1" applyAlignment="1">
      <alignment vertical="top" wrapText="1"/>
    </xf>
    <xf numFmtId="0" fontId="5" fillId="8" borderId="7" xfId="49" applyFont="1" applyFill="1" applyBorder="1" applyAlignment="1">
      <alignment horizontal="center" vertical="center" wrapText="1"/>
    </xf>
    <xf numFmtId="0" fontId="5" fillId="0" borderId="14" xfId="49" applyNumberFormat="1" applyFont="1" applyFill="1" applyBorder="1" applyAlignment="1">
      <alignment horizontal="center" vertical="top" wrapText="1"/>
    </xf>
    <xf numFmtId="0" fontId="5" fillId="0" borderId="6" xfId="0" applyFont="1" applyFill="1" applyBorder="1" applyAlignment="1">
      <alignment horizontal="left"/>
    </xf>
    <xf numFmtId="0" fontId="5" fillId="0" borderId="6" xfId="49" applyNumberFormat="1" applyFont="1" applyFill="1" applyBorder="1" applyAlignment="1">
      <alignment horizontal="left" vertical="top"/>
    </xf>
    <xf numFmtId="0" fontId="6" fillId="0" borderId="3" xfId="0" applyFont="1" applyFill="1" applyBorder="1" applyAlignment="1">
      <alignment horizontal="left" vertical="center"/>
    </xf>
    <xf numFmtId="0" fontId="5" fillId="12" borderId="6" xfId="49" applyNumberFormat="1" applyFont="1" applyFill="1" applyBorder="1" applyAlignment="1">
      <alignment horizontal="left" vertical="top"/>
    </xf>
    <xf numFmtId="0" fontId="2" fillId="0" borderId="3" xfId="0" applyFont="1" applyBorder="1" applyAlignment="1">
      <alignment vertical="center" wrapText="1"/>
    </xf>
    <xf numFmtId="0" fontId="6" fillId="0" borderId="3" xfId="0" applyFont="1" applyBorder="1" applyAlignment="1">
      <alignment horizontal="left" vertical="center"/>
    </xf>
    <xf numFmtId="0" fontId="5" fillId="0" borderId="6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left" vertical="center" wrapText="1"/>
    </xf>
    <xf numFmtId="0" fontId="5" fillId="0" borderId="13" xfId="0" applyFont="1" applyFill="1" applyBorder="1" applyAlignment="1">
      <alignment horizontal="left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3" xfId="0" applyNumberFormat="1" applyFont="1" applyBorder="1">
      <alignment vertical="center"/>
    </xf>
    <xf numFmtId="0" fontId="1" fillId="0" borderId="3" xfId="0" applyNumberFormat="1" applyFont="1" applyBorder="1" applyAlignment="1">
      <alignment vertical="center" wrapText="1"/>
    </xf>
    <xf numFmtId="0" fontId="1" fillId="0" borderId="3" xfId="0" applyNumberFormat="1" applyFont="1" applyBorder="1" applyAlignment="1">
      <alignment horizontal="center" vertical="center"/>
    </xf>
    <xf numFmtId="0" fontId="1" fillId="0" borderId="3" xfId="0" applyNumberFormat="1" applyFont="1" applyBorder="1">
      <alignment vertical="center"/>
    </xf>
    <xf numFmtId="0" fontId="1" fillId="0" borderId="3" xfId="0" applyNumberFormat="1" applyFont="1" applyBorder="1" applyAlignment="1">
      <alignment horizontal="left" vertical="center"/>
    </xf>
    <xf numFmtId="0" fontId="1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176" fontId="18" fillId="0" borderId="3" xfId="0" applyNumberFormat="1" applyFont="1" applyFill="1" applyBorder="1" applyAlignment="1">
      <alignment horizontal="center" vertical="center"/>
    </xf>
    <xf numFmtId="0" fontId="18" fillId="0" borderId="3" xfId="0" applyNumberFormat="1" applyFont="1" applyBorder="1">
      <alignment vertical="center"/>
    </xf>
    <xf numFmtId="0" fontId="1" fillId="0" borderId="5" xfId="0" applyFont="1" applyBorder="1" applyAlignment="1">
      <alignment horizontal="center" vertical="center"/>
    </xf>
    <xf numFmtId="0" fontId="18" fillId="0" borderId="3" xfId="0" applyNumberFormat="1" applyFont="1" applyBorder="1" applyAlignment="1">
      <alignment vertical="center" wrapText="1"/>
    </xf>
    <xf numFmtId="0" fontId="18" fillId="0" borderId="3" xfId="0" applyNumberFormat="1" applyFont="1" applyBorder="1" applyAlignment="1">
      <alignment horizontal="center" vertical="center"/>
    </xf>
    <xf numFmtId="0" fontId="18" fillId="0" borderId="3" xfId="0" applyNumberFormat="1" applyFont="1" applyBorder="1" applyAlignment="1">
      <alignment vertical="center"/>
    </xf>
    <xf numFmtId="0" fontId="20" fillId="0" borderId="0" xfId="0" applyNumberFormat="1" applyFont="1" applyFill="1" applyBorder="1" applyAlignment="1">
      <alignment vertical="center" wrapText="1"/>
    </xf>
    <xf numFmtId="0" fontId="18" fillId="0" borderId="3" xfId="0" applyFont="1" applyFill="1" applyBorder="1" applyAlignment="1">
      <alignment horizontal="center" vertical="center"/>
    </xf>
    <xf numFmtId="0" fontId="26" fillId="0" borderId="0" xfId="0" applyFont="1">
      <alignment vertical="center"/>
    </xf>
    <xf numFmtId="0" fontId="18" fillId="0" borderId="3" xfId="0" applyFont="1" applyBorder="1" applyAlignment="1">
      <alignment vertical="center" wrapText="1"/>
    </xf>
    <xf numFmtId="0" fontId="18" fillId="0" borderId="3" xfId="0" applyFont="1" applyBorder="1">
      <alignment vertical="center"/>
    </xf>
    <xf numFmtId="0" fontId="18" fillId="0" borderId="3" xfId="0" applyFont="1" applyFill="1" applyBorder="1" applyAlignment="1">
      <alignment horizontal="left" vertical="center" wrapText="1"/>
    </xf>
    <xf numFmtId="0" fontId="18" fillId="0" borderId="3" xfId="0" applyFont="1" applyBorder="1" applyAlignment="1">
      <alignment horizontal="center" vertical="center" wrapText="1"/>
    </xf>
    <xf numFmtId="0" fontId="27" fillId="0" borderId="0" xfId="0" applyFont="1" applyBorder="1" applyAlignment="1">
      <alignment horizontal="center" vertical="center"/>
    </xf>
    <xf numFmtId="0" fontId="28" fillId="0" borderId="3" xfId="0" applyNumberFormat="1" applyFont="1" applyFill="1" applyBorder="1" applyAlignment="1">
      <alignment horizontal="center" vertical="center"/>
    </xf>
    <xf numFmtId="0" fontId="20" fillId="0" borderId="0" xfId="0" applyNumberFormat="1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8" fillId="0" borderId="3" xfId="0" applyFont="1" applyFill="1" applyBorder="1">
      <alignment vertical="center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Normal 2" xfId="50"/>
    <cellStyle name="Normal_复合数据对象" xfId="51"/>
    <cellStyle name="差_复合数据对象" xfId="52"/>
    <cellStyle name="差_简单数据对象" xfId="53"/>
    <cellStyle name="常规 2" xfId="54"/>
    <cellStyle name="常规 2 2" xfId="55"/>
    <cellStyle name="好_复合数据对象" xfId="56"/>
    <cellStyle name="好_简单数据对象" xfId="57"/>
  </cellStyles>
  <tableStyles count="0" defaultTableStyle="TableStyleMedium2"/>
  <colors>
    <mruColors>
      <color rgb="00BDD7EE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externalLink" Target="externalLinks/externalLink3.xml"/><Relationship Id="rId11" Type="http://schemas.openxmlformats.org/officeDocument/2006/relationships/externalLink" Target="externalLinks/externalLink2.xml"/><Relationship Id="rId10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</xdr:row>
      <xdr:rowOff>76200</xdr:rowOff>
    </xdr:from>
    <xdr:to>
      <xdr:col>13</xdr:col>
      <xdr:colOff>552450</xdr:colOff>
      <xdr:row>39</xdr:row>
      <xdr:rowOff>165735</xdr:rowOff>
    </xdr:to>
    <xdr:pic>
      <xdr:nvPicPr>
        <xdr:cNvPr id="2" name="图片 1" descr="C:\Users\G012770\Documents\WXWork\1688857158578485\Cache\Image\2025-06\企业微信截图_17507311416032.png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26720"/>
          <a:ext cx="8576310" cy="65741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5760;&#24405;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1616;&#21333;&#25968;&#25454;&#23545;&#35937;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5968;&#25454;&#38598;ID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记录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简单数据对象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数据集I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workbookViewId="0">
      <pane ySplit="1" topLeftCell="A23" activePane="bottomLeft" state="frozen"/>
      <selection/>
      <selection pane="bottomLeft" activeCell="G38" sqref="$A1:$XFD1048576"/>
    </sheetView>
  </sheetViews>
  <sheetFormatPr defaultColWidth="9" defaultRowHeight="14.4"/>
  <cols>
    <col min="2" max="2" width="13.3611111111111" customWidth="1"/>
    <col min="3" max="3" width="12.0925925925926" customWidth="1"/>
    <col min="4" max="4" width="62.7314814814815" customWidth="1"/>
    <col min="5" max="5" width="17" style="373" customWidth="1"/>
  </cols>
  <sheetData>
    <row r="1" ht="33" customHeight="1" spans="1:8">
      <c r="A1" s="2" t="s">
        <v>0</v>
      </c>
      <c r="B1" s="374" t="s">
        <v>1</v>
      </c>
      <c r="C1" s="374" t="s">
        <v>2</v>
      </c>
      <c r="D1" s="374" t="s">
        <v>3</v>
      </c>
      <c r="E1" s="375" t="s">
        <v>4</v>
      </c>
    </row>
    <row r="2" ht="18" customHeight="1" spans="1:8">
      <c r="A2" s="45" t="s">
        <v>5</v>
      </c>
      <c r="B2" s="376" t="s">
        <v>6</v>
      </c>
      <c r="C2" s="377"/>
      <c r="D2" s="378" t="s">
        <v>7</v>
      </c>
      <c r="E2" s="379" t="s">
        <v>8</v>
      </c>
    </row>
    <row r="3" ht="18" customHeight="1" spans="1:8">
      <c r="A3" s="380" t="s">
        <v>9</v>
      </c>
      <c r="B3" s="381" t="s">
        <v>10</v>
      </c>
      <c r="C3" s="212"/>
      <c r="D3" s="382" t="s">
        <v>11</v>
      </c>
      <c r="E3" s="379"/>
    </row>
    <row r="4" ht="17.15" customHeight="1" spans="1:8">
      <c r="A4" s="383"/>
      <c r="B4" s="381" t="s">
        <v>12</v>
      </c>
      <c r="C4" s="212" t="s">
        <v>13</v>
      </c>
      <c r="D4" s="382" t="s">
        <v>14</v>
      </c>
      <c r="E4" s="379"/>
    </row>
    <row r="5" ht="18" customHeight="1" spans="1:8">
      <c r="A5" s="383"/>
      <c r="B5" s="381" t="s">
        <v>15</v>
      </c>
      <c r="C5" s="212" t="s">
        <v>16</v>
      </c>
      <c r="D5" s="384" t="s">
        <v>17</v>
      </c>
      <c r="E5" s="379"/>
    </row>
    <row r="6" ht="18" customHeight="1" spans="1:8">
      <c r="A6" s="383"/>
      <c r="B6" s="381" t="s">
        <v>18</v>
      </c>
      <c r="C6" s="212" t="s">
        <v>19</v>
      </c>
      <c r="D6" s="384" t="s">
        <v>20</v>
      </c>
      <c r="E6" s="379"/>
    </row>
    <row r="7" ht="17.15" customHeight="1" spans="1:8">
      <c r="A7" s="383"/>
      <c r="B7" s="381" t="s">
        <v>21</v>
      </c>
      <c r="C7" s="212" t="s">
        <v>22</v>
      </c>
      <c r="D7" s="382" t="s">
        <v>23</v>
      </c>
      <c r="E7" s="379"/>
    </row>
    <row r="8" ht="20.15" customHeight="1" spans="1:8">
      <c r="A8" s="383"/>
      <c r="B8" s="385" t="s">
        <v>24</v>
      </c>
      <c r="C8" s="57" t="s">
        <v>25</v>
      </c>
      <c r="D8" s="382" t="s">
        <v>26</v>
      </c>
      <c r="E8" s="379"/>
    </row>
    <row r="9" ht="15.6" spans="1:8">
      <c r="A9" s="383"/>
      <c r="B9" s="385" t="s">
        <v>27</v>
      </c>
      <c r="C9" s="212" t="s">
        <v>28</v>
      </c>
      <c r="D9" s="386" t="s">
        <v>29</v>
      </c>
      <c r="E9" s="379"/>
    </row>
    <row r="10" ht="109.2" spans="1:8">
      <c r="A10" s="383"/>
      <c r="B10" s="381" t="s">
        <v>30</v>
      </c>
      <c r="C10" s="36" t="s">
        <v>31</v>
      </c>
      <c r="D10" s="214" t="s">
        <v>32</v>
      </c>
      <c r="E10" s="379"/>
      <c r="H10" s="387"/>
    </row>
    <row r="11" ht="62.4" spans="1:8">
      <c r="A11" s="383"/>
      <c r="B11" s="385" t="s">
        <v>33</v>
      </c>
      <c r="C11" s="212" t="s">
        <v>13</v>
      </c>
      <c r="D11" s="214" t="s">
        <v>34</v>
      </c>
      <c r="E11" s="379"/>
      <c r="H11" s="387"/>
    </row>
    <row r="12" ht="15.6" spans="1:8">
      <c r="A12" s="383"/>
      <c r="B12" s="385" t="s">
        <v>35</v>
      </c>
      <c r="C12" s="388" t="s">
        <v>36</v>
      </c>
      <c r="D12" s="214" t="s">
        <v>37</v>
      </c>
      <c r="E12" s="379"/>
      <c r="H12" s="387"/>
    </row>
    <row r="13" ht="46.8" spans="1:8">
      <c r="A13" s="383"/>
      <c r="B13" s="385" t="s">
        <v>35</v>
      </c>
      <c r="C13" s="388" t="s">
        <v>38</v>
      </c>
      <c r="D13" s="214" t="s">
        <v>39</v>
      </c>
      <c r="E13" s="379"/>
      <c r="H13" s="387"/>
    </row>
    <row r="14" ht="15.6" spans="1:8">
      <c r="A14" s="383"/>
      <c r="B14" s="381" t="s">
        <v>40</v>
      </c>
      <c r="C14" s="36"/>
      <c r="D14" s="214" t="s">
        <v>41</v>
      </c>
      <c r="E14" s="379"/>
      <c r="F14" s="389"/>
      <c r="H14" s="387"/>
    </row>
    <row r="15" ht="27.6" spans="1:8">
      <c r="A15" s="383"/>
      <c r="B15" s="385" t="s">
        <v>42</v>
      </c>
      <c r="C15" s="246" t="s">
        <v>43</v>
      </c>
      <c r="D15" s="390" t="s">
        <v>44</v>
      </c>
      <c r="E15" s="379"/>
      <c r="F15" s="389"/>
      <c r="H15" s="387"/>
    </row>
    <row r="16" spans="1:8">
      <c r="A16" s="383"/>
      <c r="B16" s="385"/>
      <c r="C16" s="246" t="s">
        <v>31</v>
      </c>
      <c r="D16" s="391" t="s">
        <v>45</v>
      </c>
      <c r="E16" s="379"/>
    </row>
    <row r="17" spans="1:12">
      <c r="A17" s="383"/>
      <c r="B17" s="246" t="s">
        <v>46</v>
      </c>
      <c r="C17" s="385" t="s">
        <v>47</v>
      </c>
      <c r="D17" s="391" t="s">
        <v>48</v>
      </c>
      <c r="E17" s="379"/>
    </row>
    <row r="18" ht="69" spans="1:12">
      <c r="A18" s="383"/>
      <c r="B18" s="246"/>
      <c r="C18" s="246" t="s">
        <v>49</v>
      </c>
      <c r="D18" s="390" t="s">
        <v>50</v>
      </c>
      <c r="E18" s="379"/>
    </row>
    <row r="19" ht="27.6" spans="1:12">
      <c r="A19" s="383"/>
      <c r="B19" s="246"/>
      <c r="C19" s="246" t="s">
        <v>51</v>
      </c>
      <c r="D19" s="392" t="s">
        <v>52</v>
      </c>
      <c r="E19" s="379"/>
    </row>
    <row r="20" ht="41.4" spans="1:12">
      <c r="A20" s="383"/>
      <c r="B20" s="246"/>
      <c r="C20" s="393" t="s">
        <v>53</v>
      </c>
      <c r="D20" s="390" t="s">
        <v>54</v>
      </c>
      <c r="E20" s="379"/>
    </row>
    <row r="21" ht="27.6" spans="1:12">
      <c r="A21" s="383"/>
      <c r="B21" s="246"/>
      <c r="C21" s="393" t="s">
        <v>55</v>
      </c>
      <c r="D21" s="391" t="s">
        <v>56</v>
      </c>
      <c r="E21" s="379"/>
    </row>
    <row r="22" ht="15.6" spans="1:12">
      <c r="A22" s="383"/>
      <c r="B22" s="246" t="s">
        <v>57</v>
      </c>
      <c r="C22" s="246" t="s">
        <v>58</v>
      </c>
      <c r="D22" s="391" t="s">
        <v>59</v>
      </c>
      <c r="E22" s="379"/>
      <c r="L22" s="394"/>
    </row>
    <row r="23" ht="15.6" spans="1:12">
      <c r="A23" s="383"/>
      <c r="B23" s="246"/>
      <c r="C23" s="395" t="s">
        <v>60</v>
      </c>
      <c r="D23" s="391" t="s">
        <v>61</v>
      </c>
      <c r="E23" s="379"/>
      <c r="L23" s="394"/>
    </row>
    <row r="24" ht="15.6" spans="1:12">
      <c r="A24" s="383"/>
      <c r="B24" s="246"/>
      <c r="C24" s="395" t="s">
        <v>62</v>
      </c>
      <c r="D24" s="391" t="s">
        <v>63</v>
      </c>
      <c r="E24" s="379"/>
      <c r="L24" s="394"/>
    </row>
    <row r="25" ht="15.6" spans="1:12">
      <c r="A25" s="383"/>
      <c r="B25" s="246"/>
      <c r="C25" s="395" t="s">
        <v>64</v>
      </c>
      <c r="D25" s="391" t="s">
        <v>63</v>
      </c>
      <c r="E25" s="379"/>
      <c r="H25" s="396"/>
      <c r="L25" s="394"/>
    </row>
    <row r="26" spans="1:12">
      <c r="A26" s="383"/>
      <c r="B26" s="246"/>
      <c r="C26" s="246" t="s">
        <v>65</v>
      </c>
      <c r="D26" s="391" t="s">
        <v>66</v>
      </c>
      <c r="E26" s="379"/>
    </row>
    <row r="27" spans="1:12">
      <c r="A27" s="383"/>
      <c r="B27" s="246"/>
      <c r="C27" s="246" t="s">
        <v>67</v>
      </c>
      <c r="D27" s="391" t="s">
        <v>66</v>
      </c>
      <c r="E27" s="379"/>
    </row>
    <row r="28" spans="1:12">
      <c r="A28" s="383"/>
      <c r="B28" s="246"/>
      <c r="C28" s="246" t="s">
        <v>68</v>
      </c>
      <c r="D28" s="391" t="s">
        <v>69</v>
      </c>
      <c r="E28" s="379"/>
    </row>
    <row r="29" spans="1:12">
      <c r="A29" s="397"/>
      <c r="B29" s="246"/>
      <c r="C29" s="246" t="s">
        <v>70</v>
      </c>
      <c r="D29" s="391" t="s">
        <v>69</v>
      </c>
      <c r="E29" s="379"/>
    </row>
    <row r="30" spans="1:12">
      <c r="A30" s="45" t="s">
        <v>71</v>
      </c>
      <c r="B30" s="45" t="s">
        <v>72</v>
      </c>
      <c r="C30" s="388" t="s">
        <v>73</v>
      </c>
      <c r="D30" s="398" t="s">
        <v>74</v>
      </c>
      <c r="E30" s="379"/>
    </row>
    <row r="31" spans="1:12">
      <c r="A31" s="45"/>
      <c r="B31" s="45"/>
      <c r="C31" s="388" t="s">
        <v>75</v>
      </c>
      <c r="D31" s="398" t="s">
        <v>76</v>
      </c>
      <c r="E31" s="379"/>
    </row>
    <row r="32" spans="1:12">
      <c r="A32" s="45"/>
      <c r="B32" s="45"/>
      <c r="C32" s="388" t="s">
        <v>77</v>
      </c>
      <c r="D32" s="398" t="s">
        <v>66</v>
      </c>
      <c r="E32" s="379"/>
    </row>
    <row r="33" spans="1:5">
      <c r="A33" s="45"/>
      <c r="B33" s="45" t="s">
        <v>78</v>
      </c>
      <c r="C33" s="45" t="s">
        <v>79</v>
      </c>
      <c r="D33" s="145" t="s">
        <v>80</v>
      </c>
      <c r="E33" s="379"/>
    </row>
    <row r="34" spans="1:5">
      <c r="A34" s="45"/>
      <c r="B34" s="46"/>
      <c r="C34" s="45" t="s">
        <v>81</v>
      </c>
      <c r="D34" s="145" t="s">
        <v>82</v>
      </c>
      <c r="E34" s="379"/>
    </row>
    <row r="35" ht="27.6" spans="1:5">
      <c r="A35" s="45" t="s">
        <v>83</v>
      </c>
      <c r="B35" s="45" t="s">
        <v>84</v>
      </c>
      <c r="C35" s="388" t="s">
        <v>85</v>
      </c>
      <c r="D35" s="398" t="s">
        <v>66</v>
      </c>
      <c r="E35" s="170" t="s">
        <v>86</v>
      </c>
    </row>
  </sheetData>
  <mergeCells count="8">
    <mergeCell ref="A3:A29"/>
    <mergeCell ref="A30:A34"/>
    <mergeCell ref="B15:B16"/>
    <mergeCell ref="B17:B21"/>
    <mergeCell ref="B22:B29"/>
    <mergeCell ref="B30:B32"/>
    <mergeCell ref="B33:B34"/>
    <mergeCell ref="E2:E34"/>
  </mergeCells>
  <pageMargins left="0.75" right="0.75" top="1" bottom="1" header="0.511805555555556" footer="0.511805555555556"/>
  <pageSetup paperSize="9" orientation="portrait" horizont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8"/>
  <sheetViews>
    <sheetView zoomScale="55" zoomScaleNormal="55" workbookViewId="0">
      <pane ySplit="4" topLeftCell="A5" activePane="bottomLeft" state="frozen"/>
      <selection/>
      <selection pane="bottomLeft" activeCell="H2" sqref="H2:H4"/>
    </sheetView>
  </sheetViews>
  <sheetFormatPr defaultColWidth="9" defaultRowHeight="13.8"/>
  <cols>
    <col min="1" max="1" width="28.3611111111111" style="237" customWidth="1"/>
    <col min="2" max="2" width="13.4537037037037" style="238" customWidth="1"/>
    <col min="3" max="3" width="25.0925925925926" style="237" customWidth="1"/>
    <col min="4" max="4" width="11.9074074074074" style="237" customWidth="1"/>
    <col min="5" max="5" width="13.1944444444444" style="237" customWidth="1"/>
    <col min="6" max="6" width="10.1851851851852" style="237" customWidth="1"/>
    <col min="7" max="7" width="7.96296296296296" style="237" customWidth="1"/>
    <col min="8" max="8" width="55" style="237" customWidth="1"/>
    <col min="9" max="9" width="18.5740740740741" style="237" customWidth="1"/>
    <col min="10" max="10" width="15.1944444444444" style="239" customWidth="1"/>
    <col min="11" max="11" width="15.8425925925926" style="239" customWidth="1"/>
    <col min="12" max="12" width="18.3055555555556" style="237" customWidth="1"/>
    <col min="13" max="13" width="24.4537037037037" style="237" customWidth="1"/>
    <col min="14" max="16384" width="9" style="237"/>
  </cols>
  <sheetData>
    <row r="1" ht="72" customHeight="1" spans="1:13">
      <c r="A1" s="113" t="s">
        <v>87</v>
      </c>
      <c r="B1" s="113"/>
      <c r="C1" s="113"/>
      <c r="D1" s="113"/>
      <c r="E1" s="113"/>
      <c r="F1" s="113"/>
      <c r="G1" s="113"/>
      <c r="H1" s="113"/>
      <c r="I1" s="240" t="s">
        <v>88</v>
      </c>
      <c r="J1" s="240"/>
      <c r="K1" s="240"/>
      <c r="L1" s="241" t="s">
        <v>89</v>
      </c>
      <c r="M1" s="242" t="s">
        <v>4</v>
      </c>
    </row>
    <row r="2" s="228" customFormat="1" spans="1:13">
      <c r="A2" s="243" t="s">
        <v>90</v>
      </c>
      <c r="B2" s="244" t="s">
        <v>91</v>
      </c>
      <c r="C2" s="243" t="s">
        <v>92</v>
      </c>
      <c r="D2" s="243" t="s">
        <v>93</v>
      </c>
      <c r="E2" s="243" t="s">
        <v>94</v>
      </c>
      <c r="F2" s="243" t="s">
        <v>95</v>
      </c>
      <c r="G2" s="243" t="s">
        <v>96</v>
      </c>
      <c r="H2" s="243" t="s">
        <v>97</v>
      </c>
      <c r="I2" s="245" t="s">
        <v>98</v>
      </c>
      <c r="J2" s="243" t="s">
        <v>99</v>
      </c>
      <c r="K2" s="243"/>
      <c r="L2" s="246"/>
      <c r="M2" s="246"/>
    </row>
    <row r="3" s="228" customFormat="1" spans="1:13">
      <c r="A3" s="243"/>
      <c r="B3" s="244"/>
      <c r="C3" s="243"/>
      <c r="D3" s="243"/>
      <c r="E3" s="243"/>
      <c r="F3" s="243"/>
      <c r="G3" s="243"/>
      <c r="H3" s="243"/>
      <c r="I3" s="243" t="s">
        <v>100</v>
      </c>
      <c r="J3" s="247" t="s">
        <v>100</v>
      </c>
      <c r="K3" s="243" t="s">
        <v>101</v>
      </c>
      <c r="L3" s="246"/>
      <c r="M3" s="246"/>
    </row>
    <row r="4" s="228" customFormat="1" ht="26.4" spans="1:13">
      <c r="A4" s="243"/>
      <c r="B4" s="244"/>
      <c r="C4" s="243"/>
      <c r="D4" s="243"/>
      <c r="E4" s="243"/>
      <c r="F4" s="243"/>
      <c r="G4" s="243"/>
      <c r="H4" s="243"/>
      <c r="I4" s="243" t="s">
        <v>102</v>
      </c>
      <c r="J4" s="243" t="s">
        <v>103</v>
      </c>
      <c r="K4" s="248" t="s">
        <v>103</v>
      </c>
      <c r="L4" s="246"/>
      <c r="M4" s="246"/>
    </row>
    <row r="5" s="229" customFormat="1" ht="28" customHeight="1" spans="1:13">
      <c r="A5" s="249" t="s">
        <v>104</v>
      </c>
      <c r="B5" s="250" t="s">
        <v>105</v>
      </c>
      <c r="C5" s="251" t="s">
        <v>106</v>
      </c>
      <c r="D5" s="252" t="s">
        <v>107</v>
      </c>
      <c r="E5" s="252" t="s">
        <v>108</v>
      </c>
      <c r="F5" s="252" t="s">
        <v>109</v>
      </c>
      <c r="G5" s="252">
        <v>8</v>
      </c>
      <c r="H5" s="253" t="s">
        <v>110</v>
      </c>
      <c r="I5" s="254" t="s">
        <v>111</v>
      </c>
      <c r="J5" s="254" t="s">
        <v>111</v>
      </c>
      <c r="K5" s="254"/>
      <c r="L5" s="255" t="s">
        <v>112</v>
      </c>
      <c r="M5" s="214" t="s">
        <v>113</v>
      </c>
    </row>
    <row r="6" s="229" customFormat="1" ht="28" customHeight="1" spans="1:13">
      <c r="A6" s="249" t="s">
        <v>104</v>
      </c>
      <c r="B6" s="250" t="s">
        <v>114</v>
      </c>
      <c r="C6" s="251" t="s">
        <v>115</v>
      </c>
      <c r="D6" s="252" t="s">
        <v>107</v>
      </c>
      <c r="E6" s="252" t="s">
        <v>108</v>
      </c>
      <c r="F6" s="252" t="s">
        <v>109</v>
      </c>
      <c r="G6" s="252">
        <v>8</v>
      </c>
      <c r="H6" s="253" t="s">
        <v>110</v>
      </c>
      <c r="I6" s="254" t="s">
        <v>111</v>
      </c>
      <c r="J6" s="254" t="s">
        <v>111</v>
      </c>
      <c r="K6" s="254"/>
      <c r="L6" s="255"/>
      <c r="M6" s="214"/>
    </row>
    <row r="7" s="230" customFormat="1" ht="24" customHeight="1" spans="1:13">
      <c r="A7" s="256" t="s">
        <v>116</v>
      </c>
      <c r="B7" s="257" t="s">
        <v>117</v>
      </c>
      <c r="C7" s="258" t="s">
        <v>118</v>
      </c>
      <c r="D7" s="259" t="s">
        <v>119</v>
      </c>
      <c r="E7" s="259" t="s">
        <v>108</v>
      </c>
      <c r="F7" s="259" t="s">
        <v>109</v>
      </c>
      <c r="G7" s="259">
        <v>6</v>
      </c>
      <c r="H7" s="260"/>
      <c r="I7" s="261" t="s">
        <v>111</v>
      </c>
      <c r="J7" s="261" t="s">
        <v>111</v>
      </c>
      <c r="K7" s="254" t="s">
        <v>111</v>
      </c>
      <c r="L7" s="212" t="s">
        <v>120</v>
      </c>
      <c r="M7" s="262" t="s">
        <v>121</v>
      </c>
    </row>
    <row r="8" s="230" customFormat="1" ht="23.15" customHeight="1" spans="1:13">
      <c r="A8" s="30" t="s">
        <v>116</v>
      </c>
      <c r="B8" s="250" t="s">
        <v>122</v>
      </c>
      <c r="C8" s="263" t="s">
        <v>123</v>
      </c>
      <c r="D8" s="214" t="s">
        <v>107</v>
      </c>
      <c r="E8" s="252" t="s">
        <v>108</v>
      </c>
      <c r="F8" s="252" t="s">
        <v>124</v>
      </c>
      <c r="G8" s="252">
        <v>2</v>
      </c>
      <c r="H8" s="47" t="s">
        <v>125</v>
      </c>
      <c r="I8" s="254"/>
      <c r="J8" s="254"/>
      <c r="K8" s="254"/>
      <c r="L8" s="212"/>
      <c r="M8" s="262"/>
    </row>
    <row r="9" s="230" customFormat="1" ht="23.15" customHeight="1" spans="1:13">
      <c r="A9" s="30" t="s">
        <v>116</v>
      </c>
      <c r="B9" s="250" t="s">
        <v>126</v>
      </c>
      <c r="C9" s="263" t="s">
        <v>127</v>
      </c>
      <c r="D9" s="214" t="s">
        <v>107</v>
      </c>
      <c r="E9" s="252" t="s">
        <v>108</v>
      </c>
      <c r="F9" s="252" t="s">
        <v>124</v>
      </c>
      <c r="G9" s="252">
        <v>1</v>
      </c>
      <c r="H9" s="253" t="s">
        <v>128</v>
      </c>
      <c r="I9" s="254"/>
      <c r="J9" s="254"/>
      <c r="K9" s="254"/>
      <c r="L9" s="212"/>
      <c r="M9" s="262"/>
    </row>
    <row r="10" s="231" customFormat="1" ht="23.15" customHeight="1" spans="1:13">
      <c r="A10" s="264" t="s">
        <v>116</v>
      </c>
      <c r="B10" s="265" t="s">
        <v>129</v>
      </c>
      <c r="C10" s="266" t="s">
        <v>130</v>
      </c>
      <c r="D10" s="267" t="s">
        <v>107</v>
      </c>
      <c r="E10" s="268" t="s">
        <v>108</v>
      </c>
      <c r="F10" s="268" t="s">
        <v>109</v>
      </c>
      <c r="G10" s="268">
        <v>4</v>
      </c>
      <c r="H10" s="269" t="s">
        <v>131</v>
      </c>
      <c r="I10" s="270" t="s">
        <v>111</v>
      </c>
      <c r="J10" s="270" t="s">
        <v>124</v>
      </c>
      <c r="K10" s="270" t="s">
        <v>124</v>
      </c>
      <c r="L10" s="212"/>
      <c r="M10" s="271" t="s">
        <v>121</v>
      </c>
    </row>
    <row r="11" s="229" customFormat="1" ht="34" customHeight="1" spans="1:13">
      <c r="A11" s="249" t="s">
        <v>132</v>
      </c>
      <c r="B11" s="250" t="s">
        <v>133</v>
      </c>
      <c r="C11" s="272" t="s">
        <v>134</v>
      </c>
      <c r="D11" s="252" t="s">
        <v>119</v>
      </c>
      <c r="E11" s="252" t="s">
        <v>108</v>
      </c>
      <c r="F11" s="252" t="s">
        <v>124</v>
      </c>
      <c r="G11" s="252">
        <v>4</v>
      </c>
      <c r="H11" s="253" t="s">
        <v>135</v>
      </c>
      <c r="I11" s="254" t="s">
        <v>111</v>
      </c>
      <c r="J11" s="254" t="s">
        <v>111</v>
      </c>
      <c r="K11" s="254" t="s">
        <v>111</v>
      </c>
      <c r="L11" s="29" t="s">
        <v>120</v>
      </c>
      <c r="M11" s="29"/>
    </row>
    <row r="12" s="230" customFormat="1" ht="31" customHeight="1" spans="1:13">
      <c r="A12" s="273" t="s">
        <v>132</v>
      </c>
      <c r="B12" s="250" t="s">
        <v>136</v>
      </c>
      <c r="C12" s="272" t="s">
        <v>137</v>
      </c>
      <c r="D12" s="252" t="s">
        <v>119</v>
      </c>
      <c r="E12" s="252" t="s">
        <v>108</v>
      </c>
      <c r="F12" s="252" t="s">
        <v>124</v>
      </c>
      <c r="G12" s="252">
        <v>4</v>
      </c>
      <c r="H12" s="253" t="s">
        <v>135</v>
      </c>
      <c r="I12" s="254" t="s">
        <v>111</v>
      </c>
      <c r="J12" s="254" t="s">
        <v>111</v>
      </c>
      <c r="K12" s="254"/>
      <c r="L12" s="255" t="s">
        <v>112</v>
      </c>
      <c r="M12" s="212" t="s">
        <v>138</v>
      </c>
    </row>
    <row r="13" s="230" customFormat="1" ht="46.8" spans="1:13">
      <c r="A13" s="249" t="s">
        <v>132</v>
      </c>
      <c r="B13" s="250" t="s">
        <v>139</v>
      </c>
      <c r="C13" s="272" t="s">
        <v>140</v>
      </c>
      <c r="D13" s="252" t="s">
        <v>107</v>
      </c>
      <c r="E13" s="252" t="s">
        <v>108</v>
      </c>
      <c r="F13" s="252" t="s">
        <v>109</v>
      </c>
      <c r="G13" s="252">
        <v>1</v>
      </c>
      <c r="H13" s="274" t="s">
        <v>141</v>
      </c>
      <c r="I13" s="254" t="s">
        <v>111</v>
      </c>
      <c r="J13" s="254" t="s">
        <v>111</v>
      </c>
      <c r="K13" s="254"/>
      <c r="L13" s="212" t="s">
        <v>120</v>
      </c>
      <c r="M13" s="212" t="s">
        <v>142</v>
      </c>
    </row>
    <row r="14" s="230" customFormat="1" ht="28" customHeight="1" spans="1:13">
      <c r="A14" s="249" t="s">
        <v>143</v>
      </c>
      <c r="B14" s="250" t="s">
        <v>144</v>
      </c>
      <c r="C14" s="272" t="s">
        <v>145</v>
      </c>
      <c r="D14" s="214" t="s">
        <v>107</v>
      </c>
      <c r="E14" s="252" t="s">
        <v>146</v>
      </c>
      <c r="F14" s="252" t="s">
        <v>124</v>
      </c>
      <c r="G14" s="252">
        <v>2</v>
      </c>
      <c r="H14" s="253" t="s">
        <v>147</v>
      </c>
      <c r="I14" s="254" t="s">
        <v>111</v>
      </c>
      <c r="J14" s="254" t="s">
        <v>111</v>
      </c>
      <c r="K14" s="254" t="s">
        <v>111</v>
      </c>
      <c r="L14" s="212" t="s">
        <v>120</v>
      </c>
      <c r="M14" s="212" t="s">
        <v>121</v>
      </c>
    </row>
    <row r="15" s="232" customFormat="1" ht="28" customHeight="1" spans="1:13">
      <c r="A15" s="275" t="s">
        <v>143</v>
      </c>
      <c r="B15" s="276" t="s">
        <v>148</v>
      </c>
      <c r="C15" s="277" t="s">
        <v>149</v>
      </c>
      <c r="D15" s="276" t="s">
        <v>107</v>
      </c>
      <c r="E15" s="278" t="s">
        <v>146</v>
      </c>
      <c r="F15" s="278" t="s">
        <v>124</v>
      </c>
      <c r="G15" s="278">
        <v>2</v>
      </c>
      <c r="H15" s="279" t="s">
        <v>147</v>
      </c>
      <c r="I15" s="280" t="s">
        <v>111</v>
      </c>
      <c r="J15" s="280" t="s">
        <v>111</v>
      </c>
      <c r="K15" s="280" t="s">
        <v>111</v>
      </c>
      <c r="L15" s="281" t="s">
        <v>120</v>
      </c>
      <c r="M15" s="281" t="s">
        <v>121</v>
      </c>
    </row>
    <row r="16" s="230" customFormat="1" ht="35.15" customHeight="1" spans="1:13">
      <c r="A16" s="249" t="s">
        <v>104</v>
      </c>
      <c r="B16" s="250" t="s">
        <v>150</v>
      </c>
      <c r="C16" s="272" t="s">
        <v>151</v>
      </c>
      <c r="D16" s="252" t="s">
        <v>152</v>
      </c>
      <c r="E16" s="252" t="s">
        <v>153</v>
      </c>
      <c r="F16" s="252" t="s">
        <v>124</v>
      </c>
      <c r="G16" s="252">
        <v>8</v>
      </c>
      <c r="H16" s="253" t="s">
        <v>154</v>
      </c>
      <c r="I16" s="254" t="s">
        <v>111</v>
      </c>
      <c r="J16" s="254" t="s">
        <v>111</v>
      </c>
      <c r="K16" s="254"/>
      <c r="L16" s="255" t="s">
        <v>112</v>
      </c>
      <c r="M16" s="212"/>
    </row>
    <row r="17" s="230" customFormat="1" ht="46.8" spans="1:13">
      <c r="A17" s="282" t="s">
        <v>155</v>
      </c>
      <c r="B17" s="250" t="s">
        <v>156</v>
      </c>
      <c r="C17" s="283" t="s">
        <v>157</v>
      </c>
      <c r="D17" s="252" t="s">
        <v>152</v>
      </c>
      <c r="E17" s="252" t="s">
        <v>108</v>
      </c>
      <c r="F17" s="252" t="s">
        <v>158</v>
      </c>
      <c r="G17" s="252">
        <v>1</v>
      </c>
      <c r="H17" s="47" t="s">
        <v>159</v>
      </c>
      <c r="I17" s="254" t="s">
        <v>111</v>
      </c>
      <c r="J17" s="29"/>
      <c r="K17" s="29"/>
      <c r="L17" s="255" t="s">
        <v>112</v>
      </c>
      <c r="M17" s="212"/>
    </row>
    <row r="18" s="230" customFormat="1" ht="109.2" spans="1:13">
      <c r="A18" s="282" t="s">
        <v>155</v>
      </c>
      <c r="B18" s="250" t="s">
        <v>22</v>
      </c>
      <c r="C18" s="283" t="s">
        <v>160</v>
      </c>
      <c r="D18" s="252" t="s">
        <v>152</v>
      </c>
      <c r="E18" s="252" t="s">
        <v>108</v>
      </c>
      <c r="F18" s="252" t="s">
        <v>158</v>
      </c>
      <c r="G18" s="252">
        <v>1</v>
      </c>
      <c r="H18" s="47" t="s">
        <v>159</v>
      </c>
      <c r="I18" s="254" t="s">
        <v>111</v>
      </c>
      <c r="J18" s="29"/>
      <c r="K18" s="29"/>
      <c r="L18" s="255" t="s">
        <v>120</v>
      </c>
      <c r="M18" s="212" t="s">
        <v>161</v>
      </c>
    </row>
    <row r="19" s="230" customFormat="1" ht="46.8" spans="1:13">
      <c r="A19" s="282" t="s">
        <v>132</v>
      </c>
      <c r="B19" s="250" t="s">
        <v>162</v>
      </c>
      <c r="C19" s="283" t="s">
        <v>163</v>
      </c>
      <c r="D19" s="252" t="s">
        <v>152</v>
      </c>
      <c r="E19" s="250" t="s">
        <v>108</v>
      </c>
      <c r="F19" s="252" t="s">
        <v>109</v>
      </c>
      <c r="G19" s="284">
        <v>2</v>
      </c>
      <c r="H19" s="213" t="s">
        <v>164</v>
      </c>
      <c r="I19" s="254" t="s">
        <v>111</v>
      </c>
      <c r="J19" s="254" t="s">
        <v>111</v>
      </c>
      <c r="K19" s="29"/>
      <c r="L19" s="212" t="s">
        <v>120</v>
      </c>
      <c r="M19" s="43"/>
    </row>
    <row r="20" s="232" customFormat="1" ht="46.8" spans="1:13">
      <c r="A20" s="275" t="s">
        <v>132</v>
      </c>
      <c r="B20" s="285" t="s">
        <v>165</v>
      </c>
      <c r="C20" s="279" t="s">
        <v>166</v>
      </c>
      <c r="D20" s="278" t="s">
        <v>167</v>
      </c>
      <c r="E20" s="286" t="s">
        <v>108</v>
      </c>
      <c r="F20" s="286" t="s">
        <v>109</v>
      </c>
      <c r="G20" s="286">
        <v>16</v>
      </c>
      <c r="H20" s="286" t="s">
        <v>168</v>
      </c>
      <c r="I20" s="280" t="s">
        <v>111</v>
      </c>
      <c r="J20" s="280"/>
      <c r="K20" s="280"/>
      <c r="L20" s="281" t="s">
        <v>120</v>
      </c>
      <c r="M20" s="281"/>
    </row>
    <row r="21" s="232" customFormat="1" ht="78" spans="1:13">
      <c r="A21" s="275" t="s">
        <v>132</v>
      </c>
      <c r="B21" s="285" t="s">
        <v>169</v>
      </c>
      <c r="C21" s="279" t="s">
        <v>170</v>
      </c>
      <c r="D21" s="278" t="s">
        <v>167</v>
      </c>
      <c r="E21" s="286" t="s">
        <v>108</v>
      </c>
      <c r="F21" s="286" t="s">
        <v>109</v>
      </c>
      <c r="G21" s="286">
        <v>16</v>
      </c>
      <c r="H21" s="286" t="s">
        <v>168</v>
      </c>
      <c r="I21" s="280" t="s">
        <v>111</v>
      </c>
      <c r="J21" s="280" t="s">
        <v>124</v>
      </c>
      <c r="K21" s="280" t="s">
        <v>111</v>
      </c>
      <c r="L21" s="281" t="s">
        <v>120</v>
      </c>
      <c r="M21" s="281" t="s">
        <v>171</v>
      </c>
    </row>
    <row r="22" s="233" customFormat="1" ht="31.2" spans="1:13">
      <c r="A22" s="287" t="s">
        <v>116</v>
      </c>
      <c r="B22" s="288" t="s">
        <v>51</v>
      </c>
      <c r="C22" s="289" t="s">
        <v>172</v>
      </c>
      <c r="D22" s="290" t="s">
        <v>152</v>
      </c>
      <c r="E22" s="290" t="s">
        <v>108</v>
      </c>
      <c r="F22" s="288" t="s">
        <v>124</v>
      </c>
      <c r="G22" s="288">
        <v>4</v>
      </c>
      <c r="H22" s="291" t="s">
        <v>173</v>
      </c>
      <c r="I22" s="292" t="s">
        <v>111</v>
      </c>
      <c r="J22" s="292" t="s">
        <v>111</v>
      </c>
      <c r="K22" s="292" t="s">
        <v>111</v>
      </c>
      <c r="L22" s="281" t="s">
        <v>120</v>
      </c>
      <c r="M22" s="293" t="s">
        <v>121</v>
      </c>
    </row>
    <row r="23" s="233" customFormat="1" ht="129" customHeight="1" spans="1:13">
      <c r="A23" s="294" t="s">
        <v>132</v>
      </c>
      <c r="B23" s="295" t="s">
        <v>174</v>
      </c>
      <c r="C23" s="296" t="s">
        <v>175</v>
      </c>
      <c r="D23" s="53" t="s">
        <v>107</v>
      </c>
      <c r="E23" s="53" t="s">
        <v>108</v>
      </c>
      <c r="F23" s="297" t="s">
        <v>109</v>
      </c>
      <c r="G23" s="53">
        <v>2</v>
      </c>
      <c r="H23" s="298" t="s">
        <v>176</v>
      </c>
      <c r="I23" s="292" t="s">
        <v>111</v>
      </c>
      <c r="J23" s="292" t="s">
        <v>111</v>
      </c>
      <c r="K23" s="292" t="s">
        <v>111</v>
      </c>
      <c r="L23" s="299" t="s">
        <v>120</v>
      </c>
      <c r="M23" s="293"/>
    </row>
    <row r="24" s="233" customFormat="1" ht="31.2" spans="1:13">
      <c r="A24" s="294" t="s">
        <v>116</v>
      </c>
      <c r="B24" s="295" t="s">
        <v>177</v>
      </c>
      <c r="C24" s="300" t="s">
        <v>178</v>
      </c>
      <c r="D24" s="301" t="s">
        <v>107</v>
      </c>
      <c r="E24" s="301" t="s">
        <v>108</v>
      </c>
      <c r="F24" s="302" t="s">
        <v>124</v>
      </c>
      <c r="G24" s="301">
        <v>5</v>
      </c>
      <c r="H24" s="300" t="s">
        <v>179</v>
      </c>
      <c r="I24" s="292" t="s">
        <v>111</v>
      </c>
      <c r="J24" s="292" t="s">
        <v>111</v>
      </c>
      <c r="K24" s="292" t="s">
        <v>111</v>
      </c>
      <c r="L24" s="303"/>
      <c r="M24" s="292" t="s">
        <v>121</v>
      </c>
    </row>
    <row r="25" s="233" customFormat="1" ht="31.2" spans="1:13">
      <c r="A25" s="294" t="s">
        <v>116</v>
      </c>
      <c r="B25" s="295" t="s">
        <v>180</v>
      </c>
      <c r="C25" s="300" t="s">
        <v>181</v>
      </c>
      <c r="D25" s="301" t="s">
        <v>107</v>
      </c>
      <c r="E25" s="301" t="s">
        <v>108</v>
      </c>
      <c r="F25" s="302" t="s">
        <v>124</v>
      </c>
      <c r="G25" s="301">
        <v>5</v>
      </c>
      <c r="H25" s="300" t="s">
        <v>179</v>
      </c>
      <c r="I25" s="292" t="s">
        <v>111</v>
      </c>
      <c r="J25" s="292" t="s">
        <v>111</v>
      </c>
      <c r="K25" s="292" t="s">
        <v>111</v>
      </c>
      <c r="L25" s="303"/>
      <c r="M25" s="292" t="s">
        <v>121</v>
      </c>
    </row>
    <row r="26" s="233" customFormat="1" ht="31.2" spans="1:13">
      <c r="A26" s="294" t="s">
        <v>116</v>
      </c>
      <c r="B26" s="295" t="s">
        <v>182</v>
      </c>
      <c r="C26" s="300" t="s">
        <v>183</v>
      </c>
      <c r="D26" s="304" t="s">
        <v>152</v>
      </c>
      <c r="E26" s="304" t="s">
        <v>108</v>
      </c>
      <c r="F26" s="295" t="s">
        <v>124</v>
      </c>
      <c r="G26" s="295">
        <v>3</v>
      </c>
      <c r="H26" s="55" t="s">
        <v>184</v>
      </c>
      <c r="I26" s="292" t="s">
        <v>111</v>
      </c>
      <c r="J26" s="292" t="s">
        <v>111</v>
      </c>
      <c r="K26" s="292" t="s">
        <v>111</v>
      </c>
      <c r="L26" s="303"/>
      <c r="M26" s="292" t="s">
        <v>121</v>
      </c>
    </row>
    <row r="27" s="233" customFormat="1" ht="31.2" spans="1:13">
      <c r="A27" s="294" t="s">
        <v>132</v>
      </c>
      <c r="B27" s="295" t="s">
        <v>185</v>
      </c>
      <c r="C27" s="300" t="s">
        <v>186</v>
      </c>
      <c r="D27" s="295" t="s">
        <v>119</v>
      </c>
      <c r="E27" s="305" t="s">
        <v>108</v>
      </c>
      <c r="F27" s="305" t="s">
        <v>109</v>
      </c>
      <c r="G27" s="305">
        <v>3</v>
      </c>
      <c r="H27" s="302" t="s">
        <v>187</v>
      </c>
      <c r="I27" s="292" t="s">
        <v>111</v>
      </c>
      <c r="J27" s="292" t="s">
        <v>124</v>
      </c>
      <c r="K27" s="292" t="s">
        <v>124</v>
      </c>
      <c r="L27" s="303"/>
      <c r="M27" s="293"/>
    </row>
    <row r="28" s="233" customFormat="1" ht="31.2" spans="1:13">
      <c r="A28" s="294" t="s">
        <v>132</v>
      </c>
      <c r="B28" s="295" t="s">
        <v>38</v>
      </c>
      <c r="C28" s="300" t="s">
        <v>188</v>
      </c>
      <c r="D28" s="295" t="s">
        <v>152</v>
      </c>
      <c r="E28" s="295" t="s">
        <v>108</v>
      </c>
      <c r="F28" s="300" t="s">
        <v>109</v>
      </c>
      <c r="G28" s="295">
        <v>2</v>
      </c>
      <c r="H28" s="302" t="s">
        <v>189</v>
      </c>
      <c r="I28" s="292" t="s">
        <v>111</v>
      </c>
      <c r="J28" s="292"/>
      <c r="K28" s="292"/>
      <c r="L28" s="303"/>
      <c r="M28" s="293"/>
    </row>
    <row r="29" s="234" customFormat="1" ht="46.8" spans="1:13">
      <c r="A29" s="306" t="s">
        <v>132</v>
      </c>
      <c r="B29" s="307" t="s">
        <v>16</v>
      </c>
      <c r="C29" s="308" t="s">
        <v>190</v>
      </c>
      <c r="D29" s="307" t="s">
        <v>107</v>
      </c>
      <c r="E29" s="307" t="s">
        <v>108</v>
      </c>
      <c r="F29" s="308" t="s">
        <v>109</v>
      </c>
      <c r="G29" s="307">
        <v>1</v>
      </c>
      <c r="H29" s="309" t="s">
        <v>191</v>
      </c>
      <c r="I29" s="310" t="s">
        <v>111</v>
      </c>
      <c r="J29" s="310" t="s">
        <v>111</v>
      </c>
      <c r="K29" s="310" t="s">
        <v>111</v>
      </c>
      <c r="L29" s="303"/>
      <c r="M29" s="311"/>
    </row>
    <row r="30" s="233" customFormat="1" ht="31.2" spans="1:13">
      <c r="A30" s="294" t="s">
        <v>132</v>
      </c>
      <c r="B30" s="295" t="s">
        <v>19</v>
      </c>
      <c r="C30" s="312" t="s">
        <v>192</v>
      </c>
      <c r="D30" s="295" t="s">
        <v>107</v>
      </c>
      <c r="E30" s="295" t="s">
        <v>108</v>
      </c>
      <c r="F30" s="300" t="s">
        <v>109</v>
      </c>
      <c r="G30" s="295">
        <v>1</v>
      </c>
      <c r="H30" s="298" t="s">
        <v>193</v>
      </c>
      <c r="I30" s="292" t="s">
        <v>111</v>
      </c>
      <c r="J30" s="292" t="s">
        <v>111</v>
      </c>
      <c r="K30" s="292" t="s">
        <v>111</v>
      </c>
      <c r="L30" s="303"/>
      <c r="M30" s="293"/>
    </row>
    <row r="31" s="233" customFormat="1" ht="46.8" spans="1:13">
      <c r="A31" s="294" t="s">
        <v>132</v>
      </c>
      <c r="B31" s="313" t="s">
        <v>194</v>
      </c>
      <c r="C31" s="314" t="s">
        <v>195</v>
      </c>
      <c r="D31" s="295" t="s">
        <v>152</v>
      </c>
      <c r="E31" s="295" t="s">
        <v>108</v>
      </c>
      <c r="F31" s="315" t="s">
        <v>124</v>
      </c>
      <c r="G31" s="313">
        <v>4</v>
      </c>
      <c r="H31" s="316" t="s">
        <v>196</v>
      </c>
      <c r="I31" s="292" t="s">
        <v>124</v>
      </c>
      <c r="J31" s="292" t="s">
        <v>124</v>
      </c>
      <c r="K31" s="292" t="s">
        <v>124</v>
      </c>
      <c r="L31" s="303"/>
      <c r="M31" s="292" t="s">
        <v>121</v>
      </c>
    </row>
    <row r="32" s="233" customFormat="1" ht="37" customHeight="1" spans="1:13">
      <c r="A32" s="294" t="s">
        <v>132</v>
      </c>
      <c r="B32" s="313" t="s">
        <v>197</v>
      </c>
      <c r="C32" s="314" t="s">
        <v>198</v>
      </c>
      <c r="D32" s="295" t="s">
        <v>199</v>
      </c>
      <c r="E32" s="295" t="s">
        <v>108</v>
      </c>
      <c r="F32" s="315" t="s">
        <v>109</v>
      </c>
      <c r="G32" s="313">
        <v>8</v>
      </c>
      <c r="H32" s="316" t="s">
        <v>200</v>
      </c>
      <c r="I32" s="292" t="s">
        <v>111</v>
      </c>
      <c r="J32" s="292"/>
      <c r="K32" s="292"/>
      <c r="L32" s="317"/>
      <c r="M32" s="292"/>
    </row>
    <row r="33" s="229" customFormat="1" ht="78" spans="1:13">
      <c r="A33" s="282" t="s">
        <v>201</v>
      </c>
      <c r="B33" s="41" t="s">
        <v>202</v>
      </c>
      <c r="C33" s="214" t="s">
        <v>203</v>
      </c>
      <c r="D33" s="252" t="s">
        <v>107</v>
      </c>
      <c r="E33" s="252" t="s">
        <v>108</v>
      </c>
      <c r="F33" s="214" t="s">
        <v>158</v>
      </c>
      <c r="G33" s="252">
        <v>1</v>
      </c>
      <c r="H33" s="253" t="s">
        <v>204</v>
      </c>
      <c r="I33" s="254" t="s">
        <v>111</v>
      </c>
      <c r="J33" s="318"/>
      <c r="K33" s="318"/>
      <c r="L33" s="215" t="s">
        <v>120</v>
      </c>
      <c r="M33" s="29"/>
    </row>
    <row r="34" s="229" customFormat="1" ht="62.4" spans="1:13">
      <c r="A34" s="282" t="s">
        <v>201</v>
      </c>
      <c r="B34" s="41" t="s">
        <v>28</v>
      </c>
      <c r="C34" s="319" t="s">
        <v>205</v>
      </c>
      <c r="D34" s="252" t="s">
        <v>107</v>
      </c>
      <c r="E34" s="252" t="s">
        <v>108</v>
      </c>
      <c r="F34" s="214" t="s">
        <v>124</v>
      </c>
      <c r="G34" s="252">
        <v>1</v>
      </c>
      <c r="H34" s="253" t="s">
        <v>206</v>
      </c>
      <c r="I34" s="254" t="s">
        <v>111</v>
      </c>
      <c r="J34" s="318"/>
      <c r="K34" s="318"/>
      <c r="L34" s="218"/>
      <c r="M34" s="29"/>
    </row>
    <row r="35" s="232" customFormat="1" ht="23.15" customHeight="1" spans="1:13">
      <c r="A35" s="320" t="s">
        <v>207</v>
      </c>
      <c r="B35" s="321" t="s">
        <v>208</v>
      </c>
      <c r="C35" s="322" t="s">
        <v>209</v>
      </c>
      <c r="D35" s="323" t="s">
        <v>107</v>
      </c>
      <c r="E35" s="323" t="s">
        <v>108</v>
      </c>
      <c r="F35" s="323" t="s">
        <v>124</v>
      </c>
      <c r="G35" s="323">
        <v>1</v>
      </c>
      <c r="H35" s="324" t="s">
        <v>210</v>
      </c>
      <c r="I35" s="280"/>
      <c r="J35" s="275" t="s">
        <v>111</v>
      </c>
      <c r="K35" s="275"/>
      <c r="L35" s="281" t="s">
        <v>120</v>
      </c>
      <c r="M35" s="281" t="s">
        <v>211</v>
      </c>
    </row>
    <row r="36" s="232" customFormat="1" ht="15.6" spans="1:13">
      <c r="A36" s="320" t="s">
        <v>207</v>
      </c>
      <c r="B36" s="321" t="s">
        <v>212</v>
      </c>
      <c r="C36" s="322" t="s">
        <v>213</v>
      </c>
      <c r="D36" s="323" t="s">
        <v>119</v>
      </c>
      <c r="E36" s="323" t="s">
        <v>108</v>
      </c>
      <c r="F36" s="323" t="s">
        <v>158</v>
      </c>
      <c r="G36" s="323">
        <v>2</v>
      </c>
      <c r="H36" s="325" t="s">
        <v>135</v>
      </c>
      <c r="I36" s="280"/>
      <c r="J36" s="275" t="s">
        <v>111</v>
      </c>
      <c r="K36" s="275"/>
      <c r="L36" s="281"/>
      <c r="M36" s="281"/>
    </row>
    <row r="37" s="232" customFormat="1" ht="23.15" customHeight="1" spans="1:13">
      <c r="A37" s="320" t="s">
        <v>207</v>
      </c>
      <c r="B37" s="321" t="s">
        <v>79</v>
      </c>
      <c r="C37" s="322" t="s">
        <v>214</v>
      </c>
      <c r="D37" s="323" t="s">
        <v>107</v>
      </c>
      <c r="E37" s="323" t="s">
        <v>108</v>
      </c>
      <c r="F37" s="323" t="s">
        <v>158</v>
      </c>
      <c r="G37" s="323">
        <v>1</v>
      </c>
      <c r="H37" s="326" t="s">
        <v>215</v>
      </c>
      <c r="I37" s="280"/>
      <c r="J37" s="275" t="s">
        <v>111</v>
      </c>
      <c r="K37" s="275"/>
      <c r="L37" s="281"/>
      <c r="M37" s="281"/>
    </row>
    <row r="38" s="232" customFormat="1" ht="62.4" spans="1:13">
      <c r="A38" s="320" t="s">
        <v>207</v>
      </c>
      <c r="B38" s="321" t="s">
        <v>216</v>
      </c>
      <c r="C38" s="322" t="s">
        <v>217</v>
      </c>
      <c r="D38" s="323" t="s">
        <v>167</v>
      </c>
      <c r="E38" s="323" t="s">
        <v>108</v>
      </c>
      <c r="F38" s="323" t="s">
        <v>124</v>
      </c>
      <c r="G38" s="323">
        <v>10</v>
      </c>
      <c r="H38" s="326" t="s">
        <v>218</v>
      </c>
      <c r="I38" s="280"/>
      <c r="J38" s="275"/>
      <c r="K38" s="275"/>
      <c r="L38" s="281"/>
      <c r="M38" s="281"/>
    </row>
    <row r="39" s="232" customFormat="1" ht="23.15" customHeight="1" spans="1:13">
      <c r="A39" s="320" t="s">
        <v>207</v>
      </c>
      <c r="B39" s="321" t="s">
        <v>219</v>
      </c>
      <c r="C39" s="322" t="s">
        <v>220</v>
      </c>
      <c r="D39" s="323" t="s">
        <v>119</v>
      </c>
      <c r="E39" s="323" t="s">
        <v>108</v>
      </c>
      <c r="F39" s="323" t="s">
        <v>109</v>
      </c>
      <c r="G39" s="323">
        <v>2</v>
      </c>
      <c r="H39" s="326" t="s">
        <v>221</v>
      </c>
      <c r="I39" s="280"/>
      <c r="J39" s="275"/>
      <c r="K39" s="275"/>
      <c r="L39" s="281"/>
      <c r="M39" s="281"/>
    </row>
    <row r="40" s="235" customFormat="1" ht="15.6" spans="1:13">
      <c r="A40" s="282" t="s">
        <v>201</v>
      </c>
      <c r="B40" s="41" t="s">
        <v>49</v>
      </c>
      <c r="C40" s="213" t="s">
        <v>222</v>
      </c>
      <c r="D40" s="252" t="s">
        <v>107</v>
      </c>
      <c r="E40" s="252" t="s">
        <v>108</v>
      </c>
      <c r="F40" s="213" t="s">
        <v>124</v>
      </c>
      <c r="G40" s="252">
        <v>1</v>
      </c>
      <c r="H40" s="253" t="s">
        <v>222</v>
      </c>
      <c r="I40" s="254" t="s">
        <v>111</v>
      </c>
      <c r="J40" s="254" t="s">
        <v>111</v>
      </c>
      <c r="K40" s="254" t="s">
        <v>111</v>
      </c>
      <c r="L40" s="212"/>
      <c r="M40" s="254" t="s">
        <v>121</v>
      </c>
    </row>
    <row r="41" s="235" customFormat="1" ht="31.2" spans="1:13">
      <c r="A41" s="282" t="s">
        <v>201</v>
      </c>
      <c r="B41" s="41" t="s">
        <v>223</v>
      </c>
      <c r="C41" s="253" t="s">
        <v>224</v>
      </c>
      <c r="D41" s="252" t="s">
        <v>107</v>
      </c>
      <c r="E41" s="252" t="s">
        <v>108</v>
      </c>
      <c r="F41" s="274" t="s">
        <v>109</v>
      </c>
      <c r="G41" s="252">
        <v>2</v>
      </c>
      <c r="H41" s="252" t="s">
        <v>225</v>
      </c>
      <c r="I41" s="254" t="s">
        <v>111</v>
      </c>
      <c r="J41" s="254" t="s">
        <v>111</v>
      </c>
      <c r="K41" s="254" t="s">
        <v>111</v>
      </c>
      <c r="L41" s="212" t="s">
        <v>120</v>
      </c>
      <c r="M41" s="327"/>
    </row>
    <row r="42" s="235" customFormat="1" ht="22" customHeight="1" spans="1:13">
      <c r="A42" s="282" t="s">
        <v>201</v>
      </c>
      <c r="B42" s="41" t="s">
        <v>226</v>
      </c>
      <c r="C42" s="253" t="s">
        <v>227</v>
      </c>
      <c r="D42" s="252" t="s">
        <v>167</v>
      </c>
      <c r="E42" s="252" t="s">
        <v>108</v>
      </c>
      <c r="F42" s="274" t="s">
        <v>124</v>
      </c>
      <c r="G42" s="274">
        <v>15</v>
      </c>
      <c r="H42" s="252" t="s">
        <v>228</v>
      </c>
      <c r="I42" s="254" t="s">
        <v>111</v>
      </c>
      <c r="J42" s="254" t="s">
        <v>111</v>
      </c>
      <c r="K42" s="254" t="s">
        <v>111</v>
      </c>
      <c r="L42" s="212" t="s">
        <v>120</v>
      </c>
      <c r="M42" s="327"/>
    </row>
    <row r="43" s="235" customFormat="1" ht="22" customHeight="1" spans="1:13">
      <c r="A43" s="328" t="s">
        <v>201</v>
      </c>
      <c r="B43" s="329" t="s">
        <v>36</v>
      </c>
      <c r="C43" s="330" t="s">
        <v>229</v>
      </c>
      <c r="D43" s="331" t="s">
        <v>167</v>
      </c>
      <c r="E43" s="331" t="s">
        <v>108</v>
      </c>
      <c r="F43" s="332" t="s">
        <v>124</v>
      </c>
      <c r="G43" s="332">
        <v>10</v>
      </c>
      <c r="H43" s="331"/>
      <c r="I43" s="333" t="s">
        <v>111</v>
      </c>
      <c r="J43" s="333" t="s">
        <v>111</v>
      </c>
      <c r="K43" s="333" t="s">
        <v>111</v>
      </c>
      <c r="L43" s="334" t="s">
        <v>120</v>
      </c>
      <c r="M43" s="335" t="s">
        <v>138</v>
      </c>
    </row>
    <row r="44" s="235" customFormat="1" ht="18" customHeight="1" spans="1:13">
      <c r="A44" s="282" t="s">
        <v>201</v>
      </c>
      <c r="B44" s="41" t="s">
        <v>230</v>
      </c>
      <c r="C44" s="253" t="s">
        <v>231</v>
      </c>
      <c r="D44" s="252" t="s">
        <v>167</v>
      </c>
      <c r="E44" s="252" t="s">
        <v>108</v>
      </c>
      <c r="F44" s="274" t="s">
        <v>124</v>
      </c>
      <c r="G44" s="252">
        <v>15</v>
      </c>
      <c r="H44" s="253"/>
      <c r="I44" s="254" t="s">
        <v>111</v>
      </c>
      <c r="J44" s="254" t="s">
        <v>111</v>
      </c>
      <c r="K44" s="254" t="s">
        <v>111</v>
      </c>
      <c r="L44" s="29" t="s">
        <v>120</v>
      </c>
      <c r="M44" s="327"/>
    </row>
    <row r="45" s="235" customFormat="1" ht="18" customHeight="1" spans="1:13">
      <c r="A45" s="282" t="s">
        <v>201</v>
      </c>
      <c r="B45" s="41" t="s">
        <v>232</v>
      </c>
      <c r="C45" s="253" t="s">
        <v>233</v>
      </c>
      <c r="D45" s="252" t="s">
        <v>167</v>
      </c>
      <c r="E45" s="252" t="s">
        <v>108</v>
      </c>
      <c r="F45" s="41" t="s">
        <v>124</v>
      </c>
      <c r="G45" s="252">
        <v>20</v>
      </c>
      <c r="H45" s="252" t="s">
        <v>234</v>
      </c>
      <c r="I45" s="254" t="s">
        <v>111</v>
      </c>
      <c r="J45" s="254" t="s">
        <v>111</v>
      </c>
      <c r="K45" s="254" t="s">
        <v>111</v>
      </c>
      <c r="L45" s="212" t="s">
        <v>120</v>
      </c>
      <c r="M45" s="327"/>
    </row>
    <row r="46" s="235" customFormat="1" ht="18" customHeight="1" spans="1:13">
      <c r="A46" s="282" t="s">
        <v>201</v>
      </c>
      <c r="B46" s="41" t="s">
        <v>75</v>
      </c>
      <c r="C46" s="253" t="s">
        <v>235</v>
      </c>
      <c r="D46" s="252" t="s">
        <v>167</v>
      </c>
      <c r="E46" s="252" t="s">
        <v>108</v>
      </c>
      <c r="F46" s="274" t="s">
        <v>109</v>
      </c>
      <c r="G46" s="252">
        <v>32</v>
      </c>
      <c r="H46" s="252" t="s">
        <v>236</v>
      </c>
      <c r="I46" s="254" t="s">
        <v>111</v>
      </c>
      <c r="J46" s="254" t="s">
        <v>111</v>
      </c>
      <c r="K46" s="254" t="s">
        <v>111</v>
      </c>
      <c r="L46" s="212" t="s">
        <v>120</v>
      </c>
      <c r="M46" s="52"/>
    </row>
    <row r="47" s="235" customFormat="1" ht="18" customHeight="1" spans="1:13">
      <c r="A47" s="282" t="s">
        <v>201</v>
      </c>
      <c r="B47" s="41" t="s">
        <v>77</v>
      </c>
      <c r="C47" s="58" t="s">
        <v>237</v>
      </c>
      <c r="D47" s="58" t="s">
        <v>167</v>
      </c>
      <c r="E47" s="58" t="s">
        <v>108</v>
      </c>
      <c r="F47" s="58" t="s">
        <v>109</v>
      </c>
      <c r="G47" s="253">
        <v>50</v>
      </c>
      <c r="H47" s="58" t="s">
        <v>238</v>
      </c>
      <c r="I47" s="254" t="s">
        <v>111</v>
      </c>
      <c r="J47" s="254" t="s">
        <v>111</v>
      </c>
      <c r="K47" s="254" t="s">
        <v>111</v>
      </c>
      <c r="L47" s="212" t="s">
        <v>120</v>
      </c>
      <c r="M47" s="52"/>
    </row>
    <row r="48" s="235" customFormat="1" ht="36" customHeight="1" spans="1:13">
      <c r="A48" s="282" t="s">
        <v>132</v>
      </c>
      <c r="B48" s="41" t="s">
        <v>239</v>
      </c>
      <c r="C48" s="47" t="s">
        <v>240</v>
      </c>
      <c r="D48" s="252" t="s">
        <v>107</v>
      </c>
      <c r="E48" s="252" t="s">
        <v>108</v>
      </c>
      <c r="F48" s="253" t="s">
        <v>109</v>
      </c>
      <c r="G48" s="252">
        <v>1</v>
      </c>
      <c r="H48" s="336" t="s">
        <v>241</v>
      </c>
      <c r="I48" s="254" t="s">
        <v>111</v>
      </c>
      <c r="J48" s="254" t="s">
        <v>111</v>
      </c>
      <c r="K48" s="254" t="s">
        <v>111</v>
      </c>
      <c r="L48" s="212" t="s">
        <v>120</v>
      </c>
      <c r="M48" s="52"/>
    </row>
    <row r="49" s="235" customFormat="1" ht="34" customHeight="1" spans="1:13">
      <c r="A49" s="282" t="s">
        <v>116</v>
      </c>
      <c r="B49" s="41" t="s">
        <v>242</v>
      </c>
      <c r="C49" s="214" t="s">
        <v>243</v>
      </c>
      <c r="D49" s="274" t="s">
        <v>107</v>
      </c>
      <c r="E49" s="274" t="s">
        <v>108</v>
      </c>
      <c r="F49" s="253" t="s">
        <v>124</v>
      </c>
      <c r="G49" s="274">
        <v>5</v>
      </c>
      <c r="H49" s="214" t="s">
        <v>244</v>
      </c>
      <c r="I49" s="254"/>
      <c r="J49" s="254"/>
      <c r="K49" s="254"/>
      <c r="L49" s="212" t="s">
        <v>120</v>
      </c>
      <c r="M49" s="254"/>
    </row>
    <row r="50" s="235" customFormat="1" ht="36" customHeight="1" spans="1:13">
      <c r="A50" s="282" t="s">
        <v>116</v>
      </c>
      <c r="B50" s="41" t="s">
        <v>245</v>
      </c>
      <c r="C50" s="214" t="s">
        <v>246</v>
      </c>
      <c r="D50" s="274" t="s">
        <v>107</v>
      </c>
      <c r="E50" s="274" t="s">
        <v>108</v>
      </c>
      <c r="F50" s="253" t="s">
        <v>124</v>
      </c>
      <c r="G50" s="274">
        <v>5</v>
      </c>
      <c r="H50" s="214" t="s">
        <v>244</v>
      </c>
      <c r="I50" s="254"/>
      <c r="J50" s="254"/>
      <c r="K50" s="254"/>
      <c r="L50" s="212"/>
      <c r="M50" s="254"/>
    </row>
    <row r="51" s="235" customFormat="1" ht="36" customHeight="1" spans="1:13">
      <c r="A51" s="282" t="s">
        <v>116</v>
      </c>
      <c r="B51" s="252" t="s">
        <v>247</v>
      </c>
      <c r="C51" s="214" t="s">
        <v>248</v>
      </c>
      <c r="D51" s="274" t="s">
        <v>107</v>
      </c>
      <c r="E51" s="274" t="s">
        <v>108</v>
      </c>
      <c r="F51" s="253" t="s">
        <v>124</v>
      </c>
      <c r="G51" s="274">
        <v>5</v>
      </c>
      <c r="H51" s="214" t="s">
        <v>244</v>
      </c>
      <c r="I51" s="254"/>
      <c r="J51" s="254"/>
      <c r="K51" s="254"/>
      <c r="L51" s="212"/>
      <c r="M51" s="254" t="s">
        <v>121</v>
      </c>
    </row>
    <row r="52" s="235" customFormat="1" ht="36" customHeight="1" spans="1:13">
      <c r="A52" s="282" t="s">
        <v>116</v>
      </c>
      <c r="B52" s="252" t="s">
        <v>249</v>
      </c>
      <c r="C52" s="214" t="s">
        <v>250</v>
      </c>
      <c r="D52" s="274" t="s">
        <v>107</v>
      </c>
      <c r="E52" s="274" t="s">
        <v>108</v>
      </c>
      <c r="F52" s="253" t="s">
        <v>124</v>
      </c>
      <c r="G52" s="274">
        <v>5</v>
      </c>
      <c r="H52" s="214" t="s">
        <v>244</v>
      </c>
      <c r="I52" s="254"/>
      <c r="J52" s="254"/>
      <c r="K52" s="254"/>
      <c r="L52" s="212"/>
      <c r="M52" s="254" t="s">
        <v>121</v>
      </c>
    </row>
    <row r="53" s="235" customFormat="1" ht="36" customHeight="1" spans="1:13">
      <c r="A53" s="282" t="s">
        <v>116</v>
      </c>
      <c r="B53" s="252" t="s">
        <v>251</v>
      </c>
      <c r="C53" s="214" t="s">
        <v>252</v>
      </c>
      <c r="D53" s="274" t="s">
        <v>107</v>
      </c>
      <c r="E53" s="274" t="s">
        <v>108</v>
      </c>
      <c r="F53" s="253" t="s">
        <v>124</v>
      </c>
      <c r="G53" s="274">
        <v>5</v>
      </c>
      <c r="H53" s="214" t="s">
        <v>244</v>
      </c>
      <c r="I53" s="254"/>
      <c r="J53" s="254"/>
      <c r="K53" s="254"/>
      <c r="L53" s="212"/>
      <c r="M53" s="254" t="s">
        <v>121</v>
      </c>
    </row>
    <row r="54" s="235" customFormat="1" ht="36" customHeight="1" spans="1:13">
      <c r="A54" s="282" t="s">
        <v>116</v>
      </c>
      <c r="B54" s="252" t="s">
        <v>253</v>
      </c>
      <c r="C54" s="214" t="s">
        <v>254</v>
      </c>
      <c r="D54" s="274" t="s">
        <v>107</v>
      </c>
      <c r="E54" s="274" t="s">
        <v>108</v>
      </c>
      <c r="F54" s="253" t="s">
        <v>124</v>
      </c>
      <c r="G54" s="274">
        <v>5</v>
      </c>
      <c r="H54" s="214" t="s">
        <v>244</v>
      </c>
      <c r="I54" s="254"/>
      <c r="J54" s="254"/>
      <c r="K54" s="254"/>
      <c r="L54" s="212"/>
      <c r="M54" s="254" t="s">
        <v>121</v>
      </c>
    </row>
    <row r="55" s="230" customFormat="1" ht="34" customHeight="1" spans="1:13">
      <c r="A55" s="30" t="s">
        <v>104</v>
      </c>
      <c r="B55" s="41" t="s">
        <v>255</v>
      </c>
      <c r="C55" s="78" t="s">
        <v>256</v>
      </c>
      <c r="D55" s="78" t="s">
        <v>152</v>
      </c>
      <c r="E55" s="78" t="s">
        <v>108</v>
      </c>
      <c r="F55" s="252" t="s">
        <v>124</v>
      </c>
      <c r="G55" s="252">
        <v>3</v>
      </c>
      <c r="H55" s="47" t="s">
        <v>257</v>
      </c>
      <c r="I55" s="254"/>
      <c r="J55" s="254"/>
      <c r="K55" s="254"/>
      <c r="L55" s="212" t="s">
        <v>120</v>
      </c>
      <c r="M55" s="254" t="s">
        <v>121</v>
      </c>
    </row>
    <row r="56" s="230" customFormat="1" ht="29.15" customHeight="1" spans="1:13">
      <c r="A56" s="282" t="s">
        <v>132</v>
      </c>
      <c r="B56" s="213" t="s">
        <v>258</v>
      </c>
      <c r="C56" s="78" t="s">
        <v>259</v>
      </c>
      <c r="D56" s="253" t="s">
        <v>107</v>
      </c>
      <c r="E56" s="253" t="s">
        <v>108</v>
      </c>
      <c r="F56" s="253" t="s">
        <v>124</v>
      </c>
      <c r="G56" s="253">
        <v>6</v>
      </c>
      <c r="H56" s="253" t="s">
        <v>260</v>
      </c>
      <c r="I56" s="254"/>
      <c r="J56" s="254"/>
      <c r="K56" s="254"/>
      <c r="L56" s="212" t="s">
        <v>120</v>
      </c>
      <c r="M56" s="254" t="s">
        <v>121</v>
      </c>
    </row>
    <row r="57" s="230" customFormat="1" ht="62.4" spans="1:13">
      <c r="A57" s="337" t="s">
        <v>132</v>
      </c>
      <c r="B57" s="250" t="s">
        <v>58</v>
      </c>
      <c r="C57" s="338" t="s">
        <v>261</v>
      </c>
      <c r="D57" s="252" t="s">
        <v>107</v>
      </c>
      <c r="E57" s="252" t="s">
        <v>108</v>
      </c>
      <c r="F57" s="252" t="s">
        <v>109</v>
      </c>
      <c r="G57" s="252">
        <v>2</v>
      </c>
      <c r="H57" s="339" t="s">
        <v>262</v>
      </c>
      <c r="I57" s="340" t="s">
        <v>111</v>
      </c>
      <c r="J57" s="340" t="s">
        <v>111</v>
      </c>
      <c r="K57" s="340"/>
      <c r="L57" s="341" t="s">
        <v>112</v>
      </c>
      <c r="M57" s="254" t="s">
        <v>263</v>
      </c>
    </row>
    <row r="58" s="230" customFormat="1" ht="56.15" customHeight="1" spans="1:13">
      <c r="A58" s="342" t="s">
        <v>132</v>
      </c>
      <c r="B58" s="250" t="s">
        <v>264</v>
      </c>
      <c r="C58" s="343" t="s">
        <v>265</v>
      </c>
      <c r="D58" s="252" t="s">
        <v>107</v>
      </c>
      <c r="E58" s="252" t="s">
        <v>108</v>
      </c>
      <c r="F58" s="252" t="s">
        <v>109</v>
      </c>
      <c r="G58" s="252">
        <v>1</v>
      </c>
      <c r="H58" s="344" t="s">
        <v>266</v>
      </c>
      <c r="I58" s="340" t="s">
        <v>111</v>
      </c>
      <c r="J58" s="340" t="s">
        <v>111</v>
      </c>
      <c r="K58" s="340"/>
      <c r="L58" s="345" t="s">
        <v>112</v>
      </c>
      <c r="M58" s="346"/>
    </row>
    <row r="59" s="230" customFormat="1" ht="46.8" spans="1:13">
      <c r="A59" s="256" t="s">
        <v>132</v>
      </c>
      <c r="B59" s="257" t="s">
        <v>267</v>
      </c>
      <c r="C59" s="347" t="s">
        <v>268</v>
      </c>
      <c r="D59" s="260" t="s">
        <v>107</v>
      </c>
      <c r="E59" s="252" t="s">
        <v>108</v>
      </c>
      <c r="F59" s="252" t="s">
        <v>124</v>
      </c>
      <c r="G59" s="252">
        <v>2</v>
      </c>
      <c r="H59" s="348" t="s">
        <v>269</v>
      </c>
      <c r="I59" s="261" t="s">
        <v>111</v>
      </c>
      <c r="J59" s="261"/>
      <c r="K59" s="261"/>
      <c r="L59" s="349" t="s">
        <v>112</v>
      </c>
      <c r="M59" s="346"/>
    </row>
    <row r="60" s="230" customFormat="1" ht="40.5" customHeight="1" spans="1:13">
      <c r="A60" s="318"/>
      <c r="B60" s="350"/>
      <c r="C60" s="351"/>
      <c r="D60" s="352"/>
      <c r="E60" s="252"/>
      <c r="F60" s="252"/>
      <c r="G60" s="252"/>
      <c r="H60" s="348" t="s">
        <v>270</v>
      </c>
      <c r="I60" s="353"/>
      <c r="J60" s="353"/>
      <c r="K60" s="353"/>
      <c r="L60" s="354"/>
      <c r="M60" s="346"/>
    </row>
    <row r="61" s="230" customFormat="1" ht="28" customHeight="1" spans="1:13">
      <c r="A61" s="256" t="s">
        <v>155</v>
      </c>
      <c r="B61" s="250" t="s">
        <v>271</v>
      </c>
      <c r="C61" s="343" t="s">
        <v>272</v>
      </c>
      <c r="D61" s="252" t="s">
        <v>107</v>
      </c>
      <c r="E61" s="252" t="s">
        <v>108</v>
      </c>
      <c r="F61" s="252" t="s">
        <v>158</v>
      </c>
      <c r="G61" s="252">
        <v>1</v>
      </c>
      <c r="H61" s="355" t="s">
        <v>273</v>
      </c>
      <c r="I61" s="340" t="s">
        <v>111</v>
      </c>
      <c r="J61" s="58"/>
      <c r="K61" s="356"/>
      <c r="L61" s="354"/>
      <c r="M61" s="346"/>
    </row>
    <row r="62" s="230" customFormat="1" ht="28" customHeight="1" spans="1:13">
      <c r="A62" s="254" t="s">
        <v>155</v>
      </c>
      <c r="B62" s="250" t="s">
        <v>274</v>
      </c>
      <c r="C62" s="338" t="s">
        <v>275</v>
      </c>
      <c r="D62" s="252" t="s">
        <v>107</v>
      </c>
      <c r="E62" s="252" t="s">
        <v>108</v>
      </c>
      <c r="F62" s="252" t="s">
        <v>124</v>
      </c>
      <c r="G62" s="252">
        <v>1</v>
      </c>
      <c r="H62" s="355" t="s">
        <v>276</v>
      </c>
      <c r="I62" s="340" t="s">
        <v>111</v>
      </c>
      <c r="J62" s="58"/>
      <c r="K62" s="356"/>
      <c r="L62" s="357"/>
      <c r="M62" s="346"/>
    </row>
    <row r="63" s="230" customFormat="1" ht="78" spans="1:13">
      <c r="A63" s="358" t="s">
        <v>155</v>
      </c>
      <c r="B63" s="250" t="s">
        <v>277</v>
      </c>
      <c r="C63" s="359" t="s">
        <v>278</v>
      </c>
      <c r="D63" s="250" t="s">
        <v>107</v>
      </c>
      <c r="E63" s="250" t="s">
        <v>108</v>
      </c>
      <c r="F63" s="250" t="s">
        <v>158</v>
      </c>
      <c r="G63" s="250">
        <v>1</v>
      </c>
      <c r="H63" s="348" t="s">
        <v>279</v>
      </c>
      <c r="I63" s="340" t="s">
        <v>111</v>
      </c>
      <c r="J63" s="29"/>
      <c r="K63" s="29"/>
      <c r="L63" s="349" t="s">
        <v>112</v>
      </c>
      <c r="M63" s="346"/>
    </row>
    <row r="64" s="230" customFormat="1" ht="46.8" spans="1:13">
      <c r="A64" s="358" t="s">
        <v>155</v>
      </c>
      <c r="B64" s="250" t="s">
        <v>280</v>
      </c>
      <c r="C64" s="359" t="s">
        <v>281</v>
      </c>
      <c r="D64" s="250" t="s">
        <v>107</v>
      </c>
      <c r="E64" s="250" t="s">
        <v>108</v>
      </c>
      <c r="F64" s="250" t="s">
        <v>158</v>
      </c>
      <c r="G64" s="250">
        <v>1</v>
      </c>
      <c r="H64" s="348" t="s">
        <v>282</v>
      </c>
      <c r="I64" s="340" t="s">
        <v>111</v>
      </c>
      <c r="J64" s="29"/>
      <c r="K64" s="29"/>
      <c r="L64" s="357"/>
      <c r="M64" s="346"/>
    </row>
    <row r="65" s="230" customFormat="1" ht="23.15" customHeight="1" spans="1:13">
      <c r="A65" s="358" t="s">
        <v>155</v>
      </c>
      <c r="B65" s="250" t="s">
        <v>283</v>
      </c>
      <c r="C65" s="359" t="s">
        <v>284</v>
      </c>
      <c r="D65" s="250" t="s">
        <v>107</v>
      </c>
      <c r="E65" s="250" t="s">
        <v>108</v>
      </c>
      <c r="F65" s="250" t="s">
        <v>109</v>
      </c>
      <c r="G65" s="250">
        <v>1</v>
      </c>
      <c r="H65" s="348" t="s">
        <v>285</v>
      </c>
      <c r="I65" s="340" t="s">
        <v>111</v>
      </c>
      <c r="J65" s="29"/>
      <c r="K65" s="29"/>
      <c r="L65" s="349" t="s">
        <v>112</v>
      </c>
      <c r="M65" s="346"/>
    </row>
    <row r="66" s="229" customFormat="1" ht="21" customHeight="1" spans="1:13">
      <c r="A66" s="358" t="s">
        <v>132</v>
      </c>
      <c r="B66" s="250" t="s">
        <v>286</v>
      </c>
      <c r="C66" s="360" t="s">
        <v>287</v>
      </c>
      <c r="D66" s="361" t="s">
        <v>288</v>
      </c>
      <c r="E66" s="250" t="s">
        <v>108</v>
      </c>
      <c r="F66" s="252" t="s">
        <v>109</v>
      </c>
      <c r="G66" s="361">
        <v>1</v>
      </c>
      <c r="H66" s="361" t="s">
        <v>289</v>
      </c>
      <c r="I66" s="340" t="s">
        <v>111</v>
      </c>
      <c r="J66" s="29"/>
      <c r="K66" s="29"/>
      <c r="L66" s="354"/>
      <c r="M66" s="346"/>
    </row>
    <row r="67" s="229" customFormat="1" ht="20.15" customHeight="1" spans="1:13">
      <c r="A67" s="358" t="s">
        <v>132</v>
      </c>
      <c r="B67" s="250" t="s">
        <v>290</v>
      </c>
      <c r="C67" s="360" t="s">
        <v>291</v>
      </c>
      <c r="D67" s="361" t="s">
        <v>292</v>
      </c>
      <c r="E67" s="250" t="s">
        <v>108</v>
      </c>
      <c r="F67" s="252" t="s">
        <v>109</v>
      </c>
      <c r="G67" s="252">
        <v>4</v>
      </c>
      <c r="H67" s="252" t="s">
        <v>293</v>
      </c>
      <c r="I67" s="340" t="s">
        <v>111</v>
      </c>
      <c r="J67" s="340"/>
      <c r="K67" s="29"/>
      <c r="L67" s="354"/>
      <c r="M67" s="346"/>
    </row>
    <row r="68" s="230" customFormat="1" ht="29.25" customHeight="1" spans="1:13">
      <c r="A68" s="358" t="s">
        <v>132</v>
      </c>
      <c r="B68" s="250" t="s">
        <v>60</v>
      </c>
      <c r="C68" s="362" t="s">
        <v>294</v>
      </c>
      <c r="D68" s="250" t="s">
        <v>107</v>
      </c>
      <c r="E68" s="250" t="s">
        <v>108</v>
      </c>
      <c r="F68" s="252" t="s">
        <v>109</v>
      </c>
      <c r="G68" s="284">
        <v>4</v>
      </c>
      <c r="H68" s="363" t="s">
        <v>295</v>
      </c>
      <c r="I68" s="340" t="s">
        <v>111</v>
      </c>
      <c r="J68" s="340"/>
      <c r="K68" s="29"/>
      <c r="L68" s="354"/>
      <c r="M68" s="346"/>
    </row>
    <row r="69" s="230" customFormat="1" ht="29.25" customHeight="1" spans="1:13">
      <c r="A69" s="358" t="s">
        <v>132</v>
      </c>
      <c r="B69" s="250" t="s">
        <v>296</v>
      </c>
      <c r="C69" s="362" t="s">
        <v>297</v>
      </c>
      <c r="D69" s="250" t="s">
        <v>107</v>
      </c>
      <c r="E69" s="250" t="s">
        <v>108</v>
      </c>
      <c r="F69" s="252" t="s">
        <v>109</v>
      </c>
      <c r="G69" s="364">
        <v>1</v>
      </c>
      <c r="H69" s="108" t="s">
        <v>298</v>
      </c>
      <c r="I69" s="340" t="s">
        <v>111</v>
      </c>
      <c r="J69" s="340"/>
      <c r="K69" s="29"/>
      <c r="L69" s="354"/>
      <c r="M69" s="346"/>
    </row>
    <row r="70" s="230" customFormat="1" ht="29.25" customHeight="1" spans="1:13">
      <c r="A70" s="358" t="s">
        <v>132</v>
      </c>
      <c r="B70" s="250" t="s">
        <v>299</v>
      </c>
      <c r="C70" s="362" t="s">
        <v>300</v>
      </c>
      <c r="D70" s="364" t="s">
        <v>107</v>
      </c>
      <c r="E70" s="250" t="s">
        <v>108</v>
      </c>
      <c r="F70" s="252" t="s">
        <v>109</v>
      </c>
      <c r="G70" s="364">
        <v>1</v>
      </c>
      <c r="H70" s="108" t="s">
        <v>301</v>
      </c>
      <c r="I70" s="340" t="s">
        <v>111</v>
      </c>
      <c r="J70" s="340"/>
      <c r="K70" s="29"/>
      <c r="L70" s="354"/>
      <c r="M70" s="346"/>
    </row>
    <row r="71" s="230" customFormat="1" ht="29.25" customHeight="1" spans="1:13">
      <c r="A71" s="358" t="s">
        <v>132</v>
      </c>
      <c r="B71" s="41" t="s">
        <v>302</v>
      </c>
      <c r="C71" s="362" t="s">
        <v>303</v>
      </c>
      <c r="D71" s="250" t="s">
        <v>107</v>
      </c>
      <c r="E71" s="250" t="s">
        <v>108</v>
      </c>
      <c r="F71" s="252" t="s">
        <v>109</v>
      </c>
      <c r="G71" s="364">
        <v>1</v>
      </c>
      <c r="H71" s="108" t="s">
        <v>304</v>
      </c>
      <c r="I71" s="340" t="s">
        <v>111</v>
      </c>
      <c r="J71" s="340"/>
      <c r="K71" s="29"/>
      <c r="L71" s="354"/>
      <c r="M71" s="346"/>
    </row>
    <row r="72" s="230" customFormat="1" ht="29.25" customHeight="1" spans="1:13">
      <c r="A72" s="358" t="s">
        <v>132</v>
      </c>
      <c r="B72" s="41" t="s">
        <v>305</v>
      </c>
      <c r="C72" s="362" t="s">
        <v>306</v>
      </c>
      <c r="D72" s="364" t="s">
        <v>107</v>
      </c>
      <c r="E72" s="250" t="s">
        <v>108</v>
      </c>
      <c r="F72" s="252" t="s">
        <v>109</v>
      </c>
      <c r="G72" s="364">
        <v>1</v>
      </c>
      <c r="H72" s="108" t="s">
        <v>307</v>
      </c>
      <c r="I72" s="340" t="s">
        <v>111</v>
      </c>
      <c r="J72" s="340"/>
      <c r="K72" s="29"/>
      <c r="L72" s="354"/>
      <c r="M72" s="346"/>
    </row>
    <row r="73" s="230" customFormat="1" ht="29.25" customHeight="1" spans="1:13">
      <c r="A73" s="358" t="s">
        <v>132</v>
      </c>
      <c r="B73" s="250" t="s">
        <v>62</v>
      </c>
      <c r="C73" s="362" t="s">
        <v>308</v>
      </c>
      <c r="D73" s="364" t="s">
        <v>107</v>
      </c>
      <c r="E73" s="250" t="s">
        <v>108</v>
      </c>
      <c r="F73" s="252" t="s">
        <v>109</v>
      </c>
      <c r="G73" s="364">
        <v>4</v>
      </c>
      <c r="H73" s="363" t="s">
        <v>309</v>
      </c>
      <c r="I73" s="340" t="s">
        <v>111</v>
      </c>
      <c r="J73" s="340"/>
      <c r="K73" s="29"/>
      <c r="L73" s="354"/>
      <c r="M73" s="346"/>
    </row>
    <row r="74" s="230" customFormat="1" ht="21" customHeight="1" spans="1:13">
      <c r="A74" s="358" t="s">
        <v>132</v>
      </c>
      <c r="B74" s="250" t="s">
        <v>310</v>
      </c>
      <c r="C74" s="362" t="s">
        <v>311</v>
      </c>
      <c r="D74" s="364" t="s">
        <v>288</v>
      </c>
      <c r="E74" s="364" t="s">
        <v>108</v>
      </c>
      <c r="F74" s="364" t="s">
        <v>109</v>
      </c>
      <c r="G74" s="364">
        <v>1</v>
      </c>
      <c r="H74" s="213" t="s">
        <v>312</v>
      </c>
      <c r="I74" s="340" t="s">
        <v>111</v>
      </c>
      <c r="J74" s="340"/>
      <c r="K74" s="29"/>
      <c r="L74" s="354"/>
      <c r="M74" s="346"/>
    </row>
    <row r="75" s="230" customFormat="1" ht="22" customHeight="1" spans="1:13">
      <c r="A75" s="358" t="s">
        <v>132</v>
      </c>
      <c r="B75" s="250" t="s">
        <v>313</v>
      </c>
      <c r="C75" s="362" t="s">
        <v>314</v>
      </c>
      <c r="D75" s="364" t="s">
        <v>288</v>
      </c>
      <c r="E75" s="364" t="s">
        <v>108</v>
      </c>
      <c r="F75" s="364" t="s">
        <v>109</v>
      </c>
      <c r="G75" s="364">
        <v>1</v>
      </c>
      <c r="H75" s="213" t="s">
        <v>315</v>
      </c>
      <c r="I75" s="340" t="s">
        <v>111</v>
      </c>
      <c r="J75" s="340"/>
      <c r="K75" s="29"/>
      <c r="L75" s="354"/>
      <c r="M75" s="346"/>
    </row>
    <row r="76" s="230" customFormat="1" ht="23.15" customHeight="1" spans="1:13">
      <c r="A76" s="358" t="s">
        <v>132</v>
      </c>
      <c r="B76" s="250" t="s">
        <v>316</v>
      </c>
      <c r="C76" s="362" t="s">
        <v>317</v>
      </c>
      <c r="D76" s="364" t="s">
        <v>318</v>
      </c>
      <c r="E76" s="364" t="s">
        <v>108</v>
      </c>
      <c r="F76" s="364" t="s">
        <v>109</v>
      </c>
      <c r="G76" s="364">
        <v>2</v>
      </c>
      <c r="H76" s="213" t="s">
        <v>319</v>
      </c>
      <c r="I76" s="340" t="s">
        <v>111</v>
      </c>
      <c r="J76" s="340"/>
      <c r="K76" s="29"/>
      <c r="L76" s="354"/>
      <c r="M76" s="346"/>
    </row>
    <row r="77" s="230" customFormat="1" ht="23.15" customHeight="1" spans="1:13">
      <c r="A77" s="358" t="s">
        <v>132</v>
      </c>
      <c r="B77" s="250" t="s">
        <v>320</v>
      </c>
      <c r="C77" s="362" t="s">
        <v>321</v>
      </c>
      <c r="D77" s="364" t="s">
        <v>318</v>
      </c>
      <c r="E77" s="364" t="s">
        <v>108</v>
      </c>
      <c r="F77" s="364" t="s">
        <v>109</v>
      </c>
      <c r="G77" s="364">
        <v>2</v>
      </c>
      <c r="H77" s="108" t="s">
        <v>322</v>
      </c>
      <c r="I77" s="340" t="s">
        <v>111</v>
      </c>
      <c r="J77" s="340"/>
      <c r="K77" s="29"/>
      <c r="L77" s="354"/>
      <c r="M77" s="346"/>
    </row>
    <row r="78" s="236" customFormat="1" ht="20.15" customHeight="1" spans="1:13">
      <c r="A78" s="358" t="s">
        <v>132</v>
      </c>
      <c r="B78" s="250" t="s">
        <v>64</v>
      </c>
      <c r="C78" s="362" t="s">
        <v>323</v>
      </c>
      <c r="D78" s="284" t="s">
        <v>107</v>
      </c>
      <c r="E78" s="250" t="s">
        <v>108</v>
      </c>
      <c r="F78" s="252" t="s">
        <v>109</v>
      </c>
      <c r="G78" s="284">
        <v>2</v>
      </c>
      <c r="H78" s="221" t="s">
        <v>324</v>
      </c>
      <c r="I78" s="340" t="s">
        <v>111</v>
      </c>
      <c r="J78" s="340"/>
      <c r="K78" s="29"/>
      <c r="L78" s="354"/>
      <c r="M78" s="346"/>
    </row>
    <row r="79" s="230" customFormat="1" ht="31.2" spans="1:13">
      <c r="A79" s="358" t="s">
        <v>132</v>
      </c>
      <c r="B79" s="250" t="s">
        <v>325</v>
      </c>
      <c r="C79" s="362" t="s">
        <v>326</v>
      </c>
      <c r="D79" s="284" t="s">
        <v>318</v>
      </c>
      <c r="E79" s="250" t="s">
        <v>108</v>
      </c>
      <c r="F79" s="252" t="s">
        <v>109</v>
      </c>
      <c r="G79" s="284">
        <v>2</v>
      </c>
      <c r="H79" s="213" t="s">
        <v>327</v>
      </c>
      <c r="I79" s="340" t="s">
        <v>111</v>
      </c>
      <c r="J79" s="340"/>
      <c r="K79" s="29"/>
      <c r="L79" s="354"/>
      <c r="M79" s="346"/>
    </row>
    <row r="80" s="230" customFormat="1" ht="46.8" spans="1:13">
      <c r="A80" s="30" t="s">
        <v>155</v>
      </c>
      <c r="B80" s="250" t="s">
        <v>328</v>
      </c>
      <c r="C80" s="213" t="s">
        <v>329</v>
      </c>
      <c r="D80" s="252" t="s">
        <v>107</v>
      </c>
      <c r="E80" s="253" t="s">
        <v>108</v>
      </c>
      <c r="F80" s="253" t="s">
        <v>109</v>
      </c>
      <c r="G80" s="253">
        <v>1</v>
      </c>
      <c r="H80" s="47" t="s">
        <v>330</v>
      </c>
      <c r="I80" s="254" t="s">
        <v>111</v>
      </c>
      <c r="J80" s="254"/>
      <c r="K80" s="29"/>
      <c r="L80" s="354"/>
      <c r="M80" s="346"/>
    </row>
    <row r="81" s="229" customFormat="1" ht="21" customHeight="1" spans="1:13">
      <c r="A81" s="365" t="s">
        <v>132</v>
      </c>
      <c r="B81" s="250" t="s">
        <v>331</v>
      </c>
      <c r="C81" s="366" t="s">
        <v>332</v>
      </c>
      <c r="D81" s="214" t="s">
        <v>333</v>
      </c>
      <c r="E81" s="214" t="s">
        <v>153</v>
      </c>
      <c r="F81" s="214" t="s">
        <v>109</v>
      </c>
      <c r="G81" s="214">
        <v>4</v>
      </c>
      <c r="H81" s="221" t="s">
        <v>334</v>
      </c>
      <c r="I81" s="29" t="s">
        <v>111</v>
      </c>
      <c r="J81" s="261"/>
      <c r="K81" s="215"/>
      <c r="L81" s="354"/>
      <c r="M81" s="346"/>
    </row>
    <row r="82" s="229" customFormat="1" ht="31.2" spans="1:13">
      <c r="A82" s="365" t="s">
        <v>132</v>
      </c>
      <c r="B82" s="250" t="s">
        <v>335</v>
      </c>
      <c r="C82" s="366" t="s">
        <v>336</v>
      </c>
      <c r="D82" s="214" t="s">
        <v>152</v>
      </c>
      <c r="E82" s="214" t="s">
        <v>337</v>
      </c>
      <c r="F82" s="214" t="s">
        <v>109</v>
      </c>
      <c r="G82" s="214">
        <v>2</v>
      </c>
      <c r="H82" s="214" t="s">
        <v>338</v>
      </c>
      <c r="I82" s="29" t="s">
        <v>111</v>
      </c>
      <c r="J82" s="29"/>
      <c r="K82" s="29"/>
      <c r="L82" s="354"/>
      <c r="M82" s="346"/>
    </row>
    <row r="83" s="229" customFormat="1" ht="22" customHeight="1" spans="1:13">
      <c r="A83" s="365" t="s">
        <v>132</v>
      </c>
      <c r="B83" s="250" t="s">
        <v>339</v>
      </c>
      <c r="C83" s="366" t="s">
        <v>340</v>
      </c>
      <c r="D83" s="214" t="s">
        <v>107</v>
      </c>
      <c r="E83" s="214" t="s">
        <v>337</v>
      </c>
      <c r="F83" s="214" t="s">
        <v>109</v>
      </c>
      <c r="G83" s="214">
        <v>2</v>
      </c>
      <c r="H83" s="214" t="s">
        <v>341</v>
      </c>
      <c r="I83" s="29" t="s">
        <v>111</v>
      </c>
      <c r="J83" s="29"/>
      <c r="K83" s="29"/>
      <c r="L83" s="354"/>
      <c r="M83" s="346"/>
    </row>
    <row r="84" s="229" customFormat="1" ht="22" customHeight="1" spans="1:13">
      <c r="A84" s="365" t="s">
        <v>132</v>
      </c>
      <c r="B84" s="250" t="s">
        <v>342</v>
      </c>
      <c r="C84" s="366" t="s">
        <v>343</v>
      </c>
      <c r="D84" s="214" t="s">
        <v>107</v>
      </c>
      <c r="E84" s="214" t="s">
        <v>108</v>
      </c>
      <c r="F84" s="214" t="s">
        <v>109</v>
      </c>
      <c r="G84" s="214">
        <v>4</v>
      </c>
      <c r="H84" s="367" t="s">
        <v>344</v>
      </c>
      <c r="I84" s="29" t="s">
        <v>111</v>
      </c>
      <c r="J84" s="254"/>
      <c r="K84" s="29"/>
      <c r="L84" s="354"/>
      <c r="M84" s="346"/>
    </row>
    <row r="85" s="229" customFormat="1" ht="22" customHeight="1" spans="1:13">
      <c r="A85" s="368" t="s">
        <v>132</v>
      </c>
      <c r="B85" s="257" t="s">
        <v>345</v>
      </c>
      <c r="C85" s="369" t="s">
        <v>346</v>
      </c>
      <c r="D85" s="367" t="s">
        <v>107</v>
      </c>
      <c r="E85" s="367" t="s">
        <v>108</v>
      </c>
      <c r="F85" s="367" t="s">
        <v>124</v>
      </c>
      <c r="G85" s="370">
        <v>2</v>
      </c>
      <c r="H85" s="259" t="s">
        <v>347</v>
      </c>
      <c r="I85" s="371" t="s">
        <v>111</v>
      </c>
      <c r="J85" s="215"/>
      <c r="K85" s="215"/>
      <c r="L85" s="354"/>
      <c r="M85" s="346"/>
    </row>
    <row r="86" s="229" customFormat="1" ht="31.2" spans="1:13">
      <c r="A86" s="29" t="s">
        <v>155</v>
      </c>
      <c r="B86" s="250" t="s">
        <v>348</v>
      </c>
      <c r="C86" s="214" t="s">
        <v>349</v>
      </c>
      <c r="D86" s="214" t="s">
        <v>107</v>
      </c>
      <c r="E86" s="214" t="s">
        <v>108</v>
      </c>
      <c r="F86" s="214" t="s">
        <v>109</v>
      </c>
      <c r="G86" s="214">
        <v>1</v>
      </c>
      <c r="H86" s="214" t="s">
        <v>350</v>
      </c>
      <c r="I86" s="29" t="s">
        <v>111</v>
      </c>
      <c r="J86" s="254"/>
      <c r="K86" s="29"/>
      <c r="L86" s="357"/>
      <c r="M86" s="346"/>
    </row>
    <row r="87" s="230" customFormat="1" ht="15.6" spans="1:13">
      <c r="B87" s="372"/>
      <c r="J87" s="229"/>
      <c r="K87" s="229"/>
    </row>
    <row r="88" s="230" customFormat="1" ht="15.6" spans="1:13">
      <c r="B88" s="372"/>
      <c r="J88" s="229"/>
      <c r="K88" s="229"/>
    </row>
  </sheetData>
  <mergeCells count="35">
    <mergeCell ref="A1:H1"/>
    <mergeCell ref="I1:K1"/>
    <mergeCell ref="J2:K2"/>
    <mergeCell ref="A2:A4"/>
    <mergeCell ref="A59:A60"/>
    <mergeCell ref="B2:B4"/>
    <mergeCell ref="B59:B60"/>
    <mergeCell ref="C2:C4"/>
    <mergeCell ref="C59:C60"/>
    <mergeCell ref="D2:D4"/>
    <mergeCell ref="D59:D60"/>
    <mergeCell ref="E2:E4"/>
    <mergeCell ref="E59:E60"/>
    <mergeCell ref="F2:F4"/>
    <mergeCell ref="F59:F60"/>
    <mergeCell ref="G2:G4"/>
    <mergeCell ref="G59:G60"/>
    <mergeCell ref="H2:H4"/>
    <mergeCell ref="I59:I60"/>
    <mergeCell ref="J59:J60"/>
    <mergeCell ref="K59:K60"/>
    <mergeCell ref="L2:L4"/>
    <mergeCell ref="L5:L6"/>
    <mergeCell ref="L7:L10"/>
    <mergeCell ref="L23:L32"/>
    <mergeCell ref="L33:L34"/>
    <mergeCell ref="L35:L39"/>
    <mergeCell ref="L49:L54"/>
    <mergeCell ref="L59:L62"/>
    <mergeCell ref="L63:L64"/>
    <mergeCell ref="L65:L86"/>
    <mergeCell ref="M2:M4"/>
    <mergeCell ref="M5:M6"/>
    <mergeCell ref="M35:M39"/>
    <mergeCell ref="M59:M86"/>
  </mergeCells>
  <dataValidations count="3">
    <dataValidation type="list" allowBlank="1" showInputMessage="1" showErrorMessage="1" sqref="A10 A15 A23:A34 A40:A47">
      <formula1>"计量采样,计量结算,终端配置参数,终端运行参数,阀门,异常大流量,装反,电源,通信,电子封印,生产,用水分析"</formula1>
    </dataValidation>
    <dataValidation type="list" allowBlank="1" showInputMessage="1" showErrorMessage="1" sqref="D26 D55 D5:D7 D11:D22 D35:D39 D57:D62">
      <formula1>"无符号整型,无符号整型扩大倍数,BCD码整型,ASCII字符串,BCD码扩大倍数,有符号整型,有符号整型扩大倍数,HEX串"</formula1>
    </dataValidation>
    <dataValidation type="list" allowBlank="1" showInputMessage="1" showErrorMessage="1" sqref="A5:A9 A11:A14 A16:A22 A35:A39 A48:A79">
      <formula1>"计量采样,计量结算,终端配置参数,终端运行参数,阀门,异常大流量,装反,电源,NB通信,电子封印,生产,用水分析"</formula1>
    </dataValidation>
  </dataValidations>
  <pageMargins left="0.75" right="0.75" top="1" bottom="1" header="0.511805555555556" footer="0.511805555555556"/>
  <pageSetup paperSize="9" orientation="portrait"/>
  <headerFooter/>
  <ignoredErrors>
    <ignoredError sqref="A1:M1 A2:D2 F2:M2 A3:M88" listDataValidation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4"/>
  <sheetViews>
    <sheetView zoomScale="55" zoomScaleNormal="55" workbookViewId="0">
      <pane ySplit="4" topLeftCell="A91" activePane="bottomLeft" state="frozen"/>
      <selection/>
      <selection pane="bottomLeft" activeCell="A2" sqref="A$1:A$1048576"/>
    </sheetView>
  </sheetViews>
  <sheetFormatPr defaultColWidth="9" defaultRowHeight="14.4"/>
  <cols>
    <col min="1" max="1" width="15.5555555555556" style="166" customWidth="1"/>
    <col min="2" max="2" width="10.0925925925926" style="166" customWidth="1"/>
    <col min="3" max="3" width="15.7314814814815" style="166" customWidth="1"/>
    <col min="4" max="4" width="20.3148148148148" style="166" customWidth="1"/>
    <col min="5" max="5" width="13.0925925925926" style="166" customWidth="1"/>
    <col min="6" max="6" width="29" style="166" customWidth="1"/>
    <col min="7" max="7" width="9.05555555555556" style="166" customWidth="1"/>
    <col min="8" max="8" width="30.1851851851852" style="167" customWidth="1"/>
    <col min="9" max="9" width="23.3333333333333" style="167" customWidth="1"/>
    <col min="10" max="10" width="55.2685185185185" style="167" customWidth="1"/>
    <col min="11" max="11" width="23.8055555555556" style="166" customWidth="1"/>
    <col min="12" max="12" width="18.0925925925926" style="166" customWidth="1"/>
    <col min="13" max="13" width="21.75" style="166" customWidth="1"/>
    <col min="14" max="14" width="14.7592592592593" style="166" customWidth="1"/>
    <col min="15" max="15" width="18" style="166" customWidth="1"/>
    <col min="16" max="16384" width="9" style="166"/>
  </cols>
  <sheetData>
    <row r="1" ht="77.25" customHeight="1" spans="1:15">
      <c r="A1" s="113" t="s">
        <v>351</v>
      </c>
      <c r="B1" s="113"/>
      <c r="C1" s="113"/>
      <c r="D1" s="113"/>
      <c r="E1" s="113"/>
      <c r="F1" s="113"/>
      <c r="G1" s="113"/>
      <c r="H1" s="113"/>
      <c r="I1" s="113"/>
      <c r="J1" s="113"/>
      <c r="K1" s="114" t="s">
        <v>88</v>
      </c>
      <c r="L1" s="114"/>
      <c r="M1" s="114"/>
      <c r="N1" s="168" t="s">
        <v>89</v>
      </c>
      <c r="O1" s="168" t="s">
        <v>4</v>
      </c>
    </row>
    <row r="2" ht="36" customHeight="1" spans="1:15">
      <c r="A2" s="13" t="s">
        <v>90</v>
      </c>
      <c r="B2" s="13" t="s">
        <v>2</v>
      </c>
      <c r="C2" s="13" t="s">
        <v>92</v>
      </c>
      <c r="D2" s="13" t="s">
        <v>95</v>
      </c>
      <c r="E2" s="13" t="s">
        <v>97</v>
      </c>
      <c r="F2" s="13" t="s">
        <v>352</v>
      </c>
      <c r="G2" s="13" t="s">
        <v>353</v>
      </c>
      <c r="H2" s="13" t="s">
        <v>93</v>
      </c>
      <c r="I2" s="13" t="s">
        <v>94</v>
      </c>
      <c r="J2" s="13" t="s">
        <v>354</v>
      </c>
      <c r="K2" s="17" t="s">
        <v>98</v>
      </c>
      <c r="L2" s="169" t="s">
        <v>99</v>
      </c>
      <c r="M2" s="169"/>
      <c r="N2" s="170"/>
      <c r="O2" s="170"/>
    </row>
    <row r="3" customFormat="1" ht="15.6" spans="1:15">
      <c r="A3" s="13"/>
      <c r="B3" s="13"/>
      <c r="C3" s="13"/>
      <c r="D3" s="13"/>
      <c r="E3" s="13"/>
      <c r="F3" s="13"/>
      <c r="G3" s="13"/>
      <c r="H3" s="13"/>
      <c r="I3" s="13"/>
      <c r="J3" s="13"/>
      <c r="K3" s="171" t="s">
        <v>100</v>
      </c>
      <c r="L3" s="171" t="s">
        <v>100</v>
      </c>
      <c r="M3" s="14" t="s">
        <v>101</v>
      </c>
      <c r="N3" s="170"/>
      <c r="O3" s="170"/>
    </row>
    <row r="4" s="4" customFormat="1" ht="39" customHeight="1" spans="1:15">
      <c r="A4" s="13"/>
      <c r="B4" s="13"/>
      <c r="C4" s="13"/>
      <c r="D4" s="13"/>
      <c r="E4" s="13"/>
      <c r="F4" s="13"/>
      <c r="G4" s="13"/>
      <c r="H4" s="13"/>
      <c r="I4" s="13"/>
      <c r="J4" s="13"/>
      <c r="K4" s="171" t="s">
        <v>355</v>
      </c>
      <c r="L4" s="14" t="s">
        <v>356</v>
      </c>
      <c r="M4" s="14" t="s">
        <v>356</v>
      </c>
      <c r="N4" s="170"/>
      <c r="O4" s="170"/>
    </row>
    <row r="5" s="159" customFormat="1" ht="28" customHeight="1" spans="1:15">
      <c r="A5" s="37" t="s">
        <v>132</v>
      </c>
      <c r="B5" s="20" t="s">
        <v>357</v>
      </c>
      <c r="C5" s="20" t="s">
        <v>358</v>
      </c>
      <c r="D5" s="21" t="s">
        <v>124</v>
      </c>
      <c r="E5" s="21"/>
      <c r="F5" s="37" t="s">
        <v>359</v>
      </c>
      <c r="G5" s="37">
        <v>2</v>
      </c>
      <c r="H5" s="37" t="s">
        <v>107</v>
      </c>
      <c r="I5" s="37" t="s">
        <v>108</v>
      </c>
      <c r="J5" s="57" t="s">
        <v>360</v>
      </c>
      <c r="K5" s="37" t="s">
        <v>111</v>
      </c>
      <c r="L5" s="21"/>
      <c r="M5" s="37"/>
      <c r="N5" s="39" t="s">
        <v>120</v>
      </c>
      <c r="O5" s="39"/>
    </row>
    <row r="6" s="159" customFormat="1" ht="49" customHeight="1" spans="1:15">
      <c r="A6" s="37"/>
      <c r="B6" s="27"/>
      <c r="C6" s="27"/>
      <c r="D6" s="23"/>
      <c r="E6" s="23"/>
      <c r="F6" s="37" t="s">
        <v>361</v>
      </c>
      <c r="G6" s="37">
        <v>1</v>
      </c>
      <c r="H6" s="37" t="s">
        <v>107</v>
      </c>
      <c r="I6" s="37" t="s">
        <v>108</v>
      </c>
      <c r="J6" s="37" t="s">
        <v>362</v>
      </c>
      <c r="K6" s="37"/>
      <c r="L6" s="23"/>
      <c r="M6" s="37"/>
      <c r="N6" s="39"/>
      <c r="O6" s="39"/>
    </row>
    <row r="7" s="159" customFormat="1" ht="28" customHeight="1" spans="1:15">
      <c r="A7" s="37"/>
      <c r="B7" s="33"/>
      <c r="C7" s="33"/>
      <c r="D7" s="34"/>
      <c r="E7" s="34"/>
      <c r="F7" s="37" t="s">
        <v>363</v>
      </c>
      <c r="G7" s="37">
        <v>17</v>
      </c>
      <c r="H7" s="37" t="s">
        <v>119</v>
      </c>
      <c r="I7" s="37" t="s">
        <v>108</v>
      </c>
      <c r="J7" s="37" t="s">
        <v>364</v>
      </c>
      <c r="K7" s="37"/>
      <c r="L7" s="34"/>
      <c r="M7" s="37"/>
      <c r="N7" s="39"/>
      <c r="O7" s="39"/>
    </row>
    <row r="8" s="160" customFormat="1" ht="104.25" customHeight="1" spans="1:15">
      <c r="A8" s="57" t="s">
        <v>155</v>
      </c>
      <c r="B8" s="20" t="s">
        <v>365</v>
      </c>
      <c r="C8" s="20" t="s">
        <v>366</v>
      </c>
      <c r="D8" s="20" t="s">
        <v>109</v>
      </c>
      <c r="E8" s="57"/>
      <c r="F8" s="57"/>
      <c r="G8" s="57">
        <v>1</v>
      </c>
      <c r="H8" s="57" t="s">
        <v>107</v>
      </c>
      <c r="I8" s="57" t="s">
        <v>108</v>
      </c>
      <c r="J8" s="172" t="s">
        <v>367</v>
      </c>
      <c r="K8" s="57" t="s">
        <v>111</v>
      </c>
      <c r="L8" s="37" t="s">
        <v>124</v>
      </c>
      <c r="M8" s="20" t="s">
        <v>124</v>
      </c>
      <c r="N8" s="29" t="s">
        <v>120</v>
      </c>
      <c r="O8" s="29"/>
    </row>
    <row r="9" s="160" customFormat="1" ht="28" customHeight="1" spans="1:15">
      <c r="A9" s="57"/>
      <c r="B9" s="33"/>
      <c r="C9" s="33"/>
      <c r="D9" s="33"/>
      <c r="E9" s="57"/>
      <c r="F9" s="57"/>
      <c r="G9" s="57">
        <v>17</v>
      </c>
      <c r="H9" s="57" t="s">
        <v>119</v>
      </c>
      <c r="I9" s="57" t="s">
        <v>108</v>
      </c>
      <c r="J9" s="57" t="s">
        <v>368</v>
      </c>
      <c r="K9" s="57"/>
      <c r="L9" s="37"/>
      <c r="M9" s="33"/>
      <c r="N9" s="29"/>
      <c r="O9" s="29"/>
    </row>
    <row r="10" s="161" customFormat="1" ht="64" customHeight="1" spans="1:15">
      <c r="A10" s="21" t="s">
        <v>201</v>
      </c>
      <c r="B10" s="120" t="s">
        <v>369</v>
      </c>
      <c r="C10" s="173" t="s">
        <v>370</v>
      </c>
      <c r="D10" s="37" t="s">
        <v>109</v>
      </c>
      <c r="E10" s="37"/>
      <c r="F10" s="37" t="s">
        <v>371</v>
      </c>
      <c r="G10" s="57">
        <v>1</v>
      </c>
      <c r="H10" s="37" t="s">
        <v>333</v>
      </c>
      <c r="I10" s="37" t="s">
        <v>108</v>
      </c>
      <c r="J10" s="174" t="s">
        <v>372</v>
      </c>
      <c r="K10" s="37" t="s">
        <v>111</v>
      </c>
      <c r="L10" s="37" t="s">
        <v>111</v>
      </c>
      <c r="M10" s="37" t="s">
        <v>111</v>
      </c>
      <c r="N10" s="175" t="s">
        <v>120</v>
      </c>
      <c r="O10" s="175"/>
    </row>
    <row r="11" s="161" customFormat="1" ht="30" customHeight="1" spans="1:15">
      <c r="A11" s="34"/>
      <c r="B11" s="24"/>
      <c r="C11" s="173"/>
      <c r="D11" s="37"/>
      <c r="E11" s="37"/>
      <c r="F11" s="37" t="s">
        <v>373</v>
      </c>
      <c r="G11" s="37">
        <v>2</v>
      </c>
      <c r="H11" s="57" t="s">
        <v>374</v>
      </c>
      <c r="I11" s="37" t="s">
        <v>108</v>
      </c>
      <c r="J11" s="176" t="s">
        <v>375</v>
      </c>
      <c r="K11" s="37"/>
      <c r="L11" s="37"/>
      <c r="M11" s="37"/>
      <c r="N11" s="175"/>
      <c r="O11" s="175"/>
    </row>
    <row r="12" s="162" customFormat="1" ht="30" customHeight="1" spans="1:15">
      <c r="A12" s="89" t="s">
        <v>201</v>
      </c>
      <c r="B12" s="177" t="s">
        <v>376</v>
      </c>
      <c r="C12" s="178" t="s">
        <v>377</v>
      </c>
      <c r="D12" s="90" t="s">
        <v>109</v>
      </c>
      <c r="E12" s="89"/>
      <c r="F12" s="90" t="s">
        <v>378</v>
      </c>
      <c r="G12" s="90">
        <v>16</v>
      </c>
      <c r="H12" s="92" t="s">
        <v>379</v>
      </c>
      <c r="I12" s="90" t="s">
        <v>108</v>
      </c>
      <c r="J12" s="179" t="s">
        <v>380</v>
      </c>
      <c r="K12" s="90" t="s">
        <v>111</v>
      </c>
      <c r="L12" s="89" t="s">
        <v>111</v>
      </c>
      <c r="M12" s="89" t="s">
        <v>111</v>
      </c>
      <c r="N12" s="180" t="s">
        <v>120</v>
      </c>
      <c r="O12" s="180"/>
    </row>
    <row r="13" s="162" customFormat="1" ht="30" customHeight="1" spans="1:15">
      <c r="A13" s="95"/>
      <c r="B13" s="181"/>
      <c r="C13" s="182"/>
      <c r="D13" s="90"/>
      <c r="E13" s="95"/>
      <c r="F13" s="90" t="s">
        <v>381</v>
      </c>
      <c r="G13" s="90">
        <v>2</v>
      </c>
      <c r="H13" s="92" t="s">
        <v>107</v>
      </c>
      <c r="I13" s="90" t="s">
        <v>108</v>
      </c>
      <c r="J13" s="179" t="s">
        <v>381</v>
      </c>
      <c r="K13" s="90"/>
      <c r="L13" s="95"/>
      <c r="M13" s="95"/>
      <c r="N13" s="180"/>
      <c r="O13" s="180"/>
    </row>
    <row r="14" s="162" customFormat="1" ht="30" customHeight="1" spans="1:15">
      <c r="A14" s="89" t="s">
        <v>201</v>
      </c>
      <c r="B14" s="177" t="s">
        <v>382</v>
      </c>
      <c r="C14" s="178" t="s">
        <v>383</v>
      </c>
      <c r="D14" s="90" t="s">
        <v>109</v>
      </c>
      <c r="E14" s="89"/>
      <c r="F14" s="90" t="s">
        <v>384</v>
      </c>
      <c r="G14" s="90">
        <v>16</v>
      </c>
      <c r="H14" s="92" t="s">
        <v>379</v>
      </c>
      <c r="I14" s="90" t="s">
        <v>108</v>
      </c>
      <c r="J14" s="179" t="s">
        <v>385</v>
      </c>
      <c r="K14" s="90" t="s">
        <v>111</v>
      </c>
      <c r="L14" s="89"/>
      <c r="M14" s="89"/>
      <c r="N14" s="180" t="s">
        <v>120</v>
      </c>
      <c r="O14" s="180"/>
    </row>
    <row r="15" s="162" customFormat="1" ht="30" customHeight="1" spans="1:15">
      <c r="A15" s="95"/>
      <c r="B15" s="181"/>
      <c r="C15" s="182"/>
      <c r="D15" s="90"/>
      <c r="E15" s="95"/>
      <c r="F15" s="90" t="s">
        <v>386</v>
      </c>
      <c r="G15" s="90">
        <v>2</v>
      </c>
      <c r="H15" s="92" t="s">
        <v>107</v>
      </c>
      <c r="I15" s="90" t="s">
        <v>108</v>
      </c>
      <c r="J15" s="179" t="s">
        <v>386</v>
      </c>
      <c r="K15" s="90"/>
      <c r="L15" s="95"/>
      <c r="M15" s="95"/>
      <c r="N15" s="180"/>
      <c r="O15" s="180"/>
    </row>
    <row r="16" s="163" customFormat="1" ht="62.4" spans="1:15">
      <c r="A16" s="183" t="s">
        <v>132</v>
      </c>
      <c r="B16" s="184" t="s">
        <v>31</v>
      </c>
      <c r="C16" s="185" t="s">
        <v>387</v>
      </c>
      <c r="D16" s="81" t="s">
        <v>109</v>
      </c>
      <c r="E16" s="186"/>
      <c r="F16" s="187" t="s">
        <v>388</v>
      </c>
      <c r="G16" s="188">
        <v>6</v>
      </c>
      <c r="H16" s="188" t="s">
        <v>119</v>
      </c>
      <c r="I16" s="188" t="s">
        <v>108</v>
      </c>
      <c r="J16" s="189" t="s">
        <v>389</v>
      </c>
      <c r="K16" s="81" t="s">
        <v>111</v>
      </c>
      <c r="L16" s="190" t="s">
        <v>111</v>
      </c>
      <c r="M16" s="190" t="s">
        <v>111</v>
      </c>
      <c r="N16" s="191" t="s">
        <v>120</v>
      </c>
      <c r="O16" s="191"/>
    </row>
    <row r="17" s="163" customFormat="1" ht="62.4" spans="1:15">
      <c r="A17" s="192"/>
      <c r="B17" s="193"/>
      <c r="C17" s="194"/>
      <c r="D17" s="81"/>
      <c r="E17" s="186"/>
      <c r="F17" s="187" t="s">
        <v>390</v>
      </c>
      <c r="G17" s="188">
        <v>1</v>
      </c>
      <c r="H17" s="188" t="s">
        <v>152</v>
      </c>
      <c r="I17" s="188" t="s">
        <v>108</v>
      </c>
      <c r="J17" s="189" t="s">
        <v>391</v>
      </c>
      <c r="K17" s="81"/>
      <c r="L17" s="195"/>
      <c r="M17" s="195"/>
      <c r="N17" s="191"/>
      <c r="O17" s="191"/>
    </row>
    <row r="18" s="163" customFormat="1" ht="15.6" spans="1:15">
      <c r="A18" s="183" t="s">
        <v>132</v>
      </c>
      <c r="B18" s="184" t="s">
        <v>392</v>
      </c>
      <c r="C18" s="185" t="s">
        <v>393</v>
      </c>
      <c r="D18" s="81" t="s">
        <v>124</v>
      </c>
      <c r="E18" s="184"/>
      <c r="F18" s="187" t="s">
        <v>393</v>
      </c>
      <c r="G18" s="188">
        <v>6</v>
      </c>
      <c r="H18" s="188" t="s">
        <v>119</v>
      </c>
      <c r="I18" s="188" t="s">
        <v>108</v>
      </c>
      <c r="J18" s="189" t="s">
        <v>394</v>
      </c>
      <c r="K18" s="81" t="s">
        <v>111</v>
      </c>
      <c r="L18" s="190" t="s">
        <v>111</v>
      </c>
      <c r="M18" s="190" t="s">
        <v>111</v>
      </c>
      <c r="N18" s="191" t="s">
        <v>120</v>
      </c>
      <c r="O18" s="191"/>
    </row>
    <row r="19" s="163" customFormat="1" ht="15.6" spans="1:15">
      <c r="A19" s="196"/>
      <c r="B19" s="197"/>
      <c r="C19" s="198"/>
      <c r="D19" s="81"/>
      <c r="E19" s="197"/>
      <c r="F19" s="187" t="s">
        <v>393</v>
      </c>
      <c r="G19" s="188">
        <v>6</v>
      </c>
      <c r="H19" s="188" t="s">
        <v>119</v>
      </c>
      <c r="I19" s="188" t="s">
        <v>108</v>
      </c>
      <c r="J19" s="189" t="s">
        <v>394</v>
      </c>
      <c r="K19" s="81"/>
      <c r="L19" s="79"/>
      <c r="M19" s="79"/>
      <c r="N19" s="191"/>
      <c r="O19" s="191"/>
    </row>
    <row r="20" s="163" customFormat="1" ht="15.6" spans="1:15">
      <c r="A20" s="196"/>
      <c r="B20" s="197"/>
      <c r="C20" s="198"/>
      <c r="D20" s="81"/>
      <c r="E20" s="197"/>
      <c r="F20" s="187" t="s">
        <v>393</v>
      </c>
      <c r="G20" s="188">
        <v>6</v>
      </c>
      <c r="H20" s="188" t="s">
        <v>119</v>
      </c>
      <c r="I20" s="188" t="s">
        <v>108</v>
      </c>
      <c r="J20" s="189" t="s">
        <v>394</v>
      </c>
      <c r="K20" s="81"/>
      <c r="L20" s="79"/>
      <c r="M20" s="79"/>
      <c r="N20" s="191"/>
      <c r="O20" s="191"/>
    </row>
    <row r="21" s="163" customFormat="1" ht="15.6" spans="1:15">
      <c r="A21" s="192"/>
      <c r="B21" s="193"/>
      <c r="C21" s="194"/>
      <c r="D21" s="81"/>
      <c r="E21" s="193"/>
      <c r="F21" s="187" t="s">
        <v>393</v>
      </c>
      <c r="G21" s="188">
        <v>6</v>
      </c>
      <c r="H21" s="188" t="s">
        <v>119</v>
      </c>
      <c r="I21" s="188" t="s">
        <v>108</v>
      </c>
      <c r="J21" s="189" t="s">
        <v>394</v>
      </c>
      <c r="K21" s="81"/>
      <c r="L21" s="195"/>
      <c r="M21" s="195"/>
      <c r="N21" s="191"/>
      <c r="O21" s="191"/>
    </row>
    <row r="22" s="163" customFormat="1" ht="31.2" spans="1:15">
      <c r="A22" s="183" t="s">
        <v>132</v>
      </c>
      <c r="B22" s="184" t="s">
        <v>73</v>
      </c>
      <c r="C22" s="185" t="s">
        <v>395</v>
      </c>
      <c r="D22" s="81" t="s">
        <v>124</v>
      </c>
      <c r="E22" s="184"/>
      <c r="F22" s="187" t="s">
        <v>395</v>
      </c>
      <c r="G22" s="188">
        <v>5</v>
      </c>
      <c r="H22" s="92" t="s">
        <v>107</v>
      </c>
      <c r="I22" s="188" t="s">
        <v>108</v>
      </c>
      <c r="J22" s="189" t="s">
        <v>396</v>
      </c>
      <c r="K22" s="81" t="s">
        <v>111</v>
      </c>
      <c r="L22" s="190" t="s">
        <v>111</v>
      </c>
      <c r="M22" s="190" t="s">
        <v>111</v>
      </c>
      <c r="N22" s="191" t="s">
        <v>120</v>
      </c>
      <c r="O22" s="191"/>
    </row>
    <row r="23" s="163" customFormat="1" ht="31.2" spans="1:15">
      <c r="A23" s="196"/>
      <c r="B23" s="197"/>
      <c r="C23" s="198"/>
      <c r="D23" s="81"/>
      <c r="E23" s="197"/>
      <c r="F23" s="187" t="s">
        <v>395</v>
      </c>
      <c r="G23" s="188">
        <v>5</v>
      </c>
      <c r="H23" s="92" t="s">
        <v>107</v>
      </c>
      <c r="I23" s="188" t="s">
        <v>108</v>
      </c>
      <c r="J23" s="189" t="s">
        <v>396</v>
      </c>
      <c r="K23" s="81"/>
      <c r="L23" s="79"/>
      <c r="M23" s="79"/>
      <c r="N23" s="191"/>
      <c r="O23" s="191"/>
    </row>
    <row r="24" s="163" customFormat="1" ht="31.2" spans="1:15">
      <c r="A24" s="196"/>
      <c r="B24" s="197"/>
      <c r="C24" s="198"/>
      <c r="D24" s="81"/>
      <c r="E24" s="197"/>
      <c r="F24" s="187" t="s">
        <v>395</v>
      </c>
      <c r="G24" s="188">
        <v>5</v>
      </c>
      <c r="H24" s="92" t="s">
        <v>107</v>
      </c>
      <c r="I24" s="188" t="s">
        <v>108</v>
      </c>
      <c r="J24" s="189" t="s">
        <v>396</v>
      </c>
      <c r="K24" s="81"/>
      <c r="L24" s="79"/>
      <c r="M24" s="79"/>
      <c r="N24" s="191"/>
      <c r="O24" s="191"/>
    </row>
    <row r="25" s="163" customFormat="1" ht="31.2" spans="1:15">
      <c r="A25" s="192"/>
      <c r="B25" s="193"/>
      <c r="C25" s="194"/>
      <c r="D25" s="81"/>
      <c r="E25" s="193"/>
      <c r="F25" s="187" t="s">
        <v>395</v>
      </c>
      <c r="G25" s="188">
        <v>5</v>
      </c>
      <c r="H25" s="92" t="s">
        <v>107</v>
      </c>
      <c r="I25" s="188" t="s">
        <v>108</v>
      </c>
      <c r="J25" s="189" t="s">
        <v>396</v>
      </c>
      <c r="K25" s="81"/>
      <c r="L25" s="195"/>
      <c r="M25" s="195"/>
      <c r="N25" s="191"/>
      <c r="O25" s="191"/>
    </row>
    <row r="26" s="164" customFormat="1" ht="31.2" spans="1:15">
      <c r="A26" s="37" t="s">
        <v>207</v>
      </c>
      <c r="B26" s="30" t="s">
        <v>397</v>
      </c>
      <c r="C26" s="120" t="s">
        <v>398</v>
      </c>
      <c r="D26" s="21" t="s">
        <v>158</v>
      </c>
      <c r="E26" s="21"/>
      <c r="F26" s="37" t="s">
        <v>399</v>
      </c>
      <c r="G26" s="37">
        <v>1</v>
      </c>
      <c r="H26" s="37" t="s">
        <v>107</v>
      </c>
      <c r="I26" s="37" t="s">
        <v>108</v>
      </c>
      <c r="J26" s="137" t="s">
        <v>400</v>
      </c>
      <c r="K26" s="57"/>
      <c r="L26" s="57" t="s">
        <v>111</v>
      </c>
      <c r="M26" s="39"/>
      <c r="N26" s="39" t="s">
        <v>120</v>
      </c>
      <c r="O26" s="39" t="s">
        <v>401</v>
      </c>
    </row>
    <row r="27" s="159" customFormat="1" ht="33" customHeight="1" spans="1:15">
      <c r="A27" s="37"/>
      <c r="B27" s="30"/>
      <c r="C27" s="122"/>
      <c r="D27" s="23"/>
      <c r="E27" s="23"/>
      <c r="F27" s="37" t="s">
        <v>402</v>
      </c>
      <c r="G27" s="37">
        <v>2</v>
      </c>
      <c r="H27" s="37" t="s">
        <v>119</v>
      </c>
      <c r="I27" s="37" t="s">
        <v>108</v>
      </c>
      <c r="J27" s="137" t="s">
        <v>220</v>
      </c>
      <c r="K27" s="57"/>
      <c r="L27" s="57"/>
      <c r="M27" s="39"/>
      <c r="N27" s="39"/>
      <c r="O27" s="39"/>
    </row>
    <row r="28" s="159" customFormat="1" ht="36" customHeight="1" spans="1:15">
      <c r="A28" s="37"/>
      <c r="B28" s="30"/>
      <c r="C28" s="24"/>
      <c r="D28" s="34"/>
      <c r="E28" s="34"/>
      <c r="F28" s="37" t="s">
        <v>403</v>
      </c>
      <c r="G28" s="37">
        <v>10</v>
      </c>
      <c r="H28" s="37" t="s">
        <v>167</v>
      </c>
      <c r="I28" s="37" t="s">
        <v>108</v>
      </c>
      <c r="J28" s="137" t="s">
        <v>404</v>
      </c>
      <c r="K28" s="57"/>
      <c r="L28" s="57"/>
      <c r="M28" s="39"/>
      <c r="N28" s="39"/>
      <c r="O28" s="39"/>
    </row>
    <row r="29" s="159" customFormat="1" ht="34" customHeight="1" spans="1:15">
      <c r="A29" s="37" t="s">
        <v>132</v>
      </c>
      <c r="B29" s="57" t="s">
        <v>405</v>
      </c>
      <c r="C29" s="20" t="s">
        <v>406</v>
      </c>
      <c r="D29" s="20" t="s">
        <v>109</v>
      </c>
      <c r="E29" s="20" t="s">
        <v>407</v>
      </c>
      <c r="F29" s="21"/>
      <c r="G29" s="37">
        <v>4</v>
      </c>
      <c r="H29" s="21" t="s">
        <v>408</v>
      </c>
      <c r="I29" s="21" t="s">
        <v>153</v>
      </c>
      <c r="J29" s="57" t="s">
        <v>409</v>
      </c>
      <c r="K29" s="37" t="s">
        <v>111</v>
      </c>
      <c r="L29" s="37"/>
      <c r="M29" s="37"/>
      <c r="N29" s="199" t="s">
        <v>112</v>
      </c>
      <c r="O29" s="37"/>
    </row>
    <row r="30" s="159" customFormat="1" ht="36" customHeight="1" spans="1:15">
      <c r="A30" s="37"/>
      <c r="B30" s="57"/>
      <c r="C30" s="27"/>
      <c r="D30" s="27"/>
      <c r="E30" s="27"/>
      <c r="F30" s="23"/>
      <c r="G30" s="37">
        <v>4</v>
      </c>
      <c r="H30" s="23"/>
      <c r="I30" s="23"/>
      <c r="J30" s="57" t="s">
        <v>409</v>
      </c>
      <c r="K30" s="37"/>
      <c r="L30" s="37"/>
      <c r="M30" s="37"/>
      <c r="N30" s="199"/>
      <c r="O30" s="37"/>
    </row>
    <row r="31" s="159" customFormat="1" ht="31.5" customHeight="1" spans="1:15">
      <c r="A31" s="37"/>
      <c r="B31" s="57"/>
      <c r="C31" s="27"/>
      <c r="D31" s="27"/>
      <c r="E31" s="27"/>
      <c r="F31" s="23"/>
      <c r="G31" s="37">
        <v>4</v>
      </c>
      <c r="H31" s="23"/>
      <c r="I31" s="23"/>
      <c r="J31" s="57" t="s">
        <v>410</v>
      </c>
      <c r="K31" s="37"/>
      <c r="L31" s="37"/>
      <c r="M31" s="37"/>
      <c r="N31" s="199"/>
      <c r="O31" s="37"/>
    </row>
    <row r="32" s="159" customFormat="1" ht="31.5" customHeight="1" spans="1:15">
      <c r="A32" s="37"/>
      <c r="B32" s="57"/>
      <c r="C32" s="33"/>
      <c r="D32" s="33"/>
      <c r="E32" s="33"/>
      <c r="F32" s="34"/>
      <c r="G32" s="37">
        <v>4</v>
      </c>
      <c r="H32" s="34"/>
      <c r="I32" s="34"/>
      <c r="J32" s="57" t="s">
        <v>411</v>
      </c>
      <c r="K32" s="37"/>
      <c r="L32" s="37"/>
      <c r="M32" s="37"/>
      <c r="N32" s="199"/>
      <c r="O32" s="37"/>
    </row>
    <row r="33" s="159" customFormat="1" ht="31.5" customHeight="1" spans="1:15">
      <c r="A33" s="200" t="s">
        <v>155</v>
      </c>
      <c r="B33" s="201" t="s">
        <v>65</v>
      </c>
      <c r="C33" s="201" t="s">
        <v>412</v>
      </c>
      <c r="D33" s="201" t="s">
        <v>109</v>
      </c>
      <c r="E33" s="37"/>
      <c r="F33" s="37"/>
      <c r="G33" s="202">
        <v>4</v>
      </c>
      <c r="H33" s="202" t="s">
        <v>408</v>
      </c>
      <c r="I33" s="202" t="s">
        <v>413</v>
      </c>
      <c r="J33" s="202" t="s">
        <v>414</v>
      </c>
      <c r="K33" s="21" t="s">
        <v>111</v>
      </c>
      <c r="L33" s="21" t="s">
        <v>111</v>
      </c>
      <c r="M33" s="203"/>
      <c r="N33" s="199" t="s">
        <v>112</v>
      </c>
      <c r="O33" s="37" t="s">
        <v>263</v>
      </c>
    </row>
    <row r="34" s="159" customFormat="1" ht="31.5" customHeight="1" spans="1:15">
      <c r="A34" s="204"/>
      <c r="B34" s="205"/>
      <c r="C34" s="205"/>
      <c r="D34" s="205"/>
      <c r="E34" s="37"/>
      <c r="F34" s="37"/>
      <c r="G34" s="202">
        <v>2</v>
      </c>
      <c r="H34" s="202" t="s">
        <v>408</v>
      </c>
      <c r="I34" s="202" t="s">
        <v>337</v>
      </c>
      <c r="J34" s="202" t="s">
        <v>415</v>
      </c>
      <c r="K34" s="23"/>
      <c r="L34" s="23"/>
      <c r="M34" s="206"/>
      <c r="N34" s="199"/>
      <c r="O34" s="37"/>
    </row>
    <row r="35" s="159" customFormat="1" ht="31.5" customHeight="1" spans="1:15">
      <c r="A35" s="204"/>
      <c r="B35" s="205"/>
      <c r="C35" s="201" t="s">
        <v>412</v>
      </c>
      <c r="D35" s="205"/>
      <c r="E35" s="37"/>
      <c r="F35" s="37"/>
      <c r="G35" s="202">
        <v>4</v>
      </c>
      <c r="H35" s="202" t="s">
        <v>408</v>
      </c>
      <c r="I35" s="202" t="s">
        <v>413</v>
      </c>
      <c r="J35" s="202" t="s">
        <v>416</v>
      </c>
      <c r="K35" s="23"/>
      <c r="L35" s="23"/>
      <c r="M35" s="206"/>
      <c r="N35" s="199"/>
      <c r="O35" s="37"/>
    </row>
    <row r="36" s="159" customFormat="1" ht="31.5" customHeight="1" spans="1:15">
      <c r="A36" s="204"/>
      <c r="B36" s="205"/>
      <c r="C36" s="205"/>
      <c r="D36" s="205"/>
      <c r="E36" s="37"/>
      <c r="F36" s="37"/>
      <c r="G36" s="202">
        <v>2</v>
      </c>
      <c r="H36" s="202" t="s">
        <v>408</v>
      </c>
      <c r="I36" s="202" t="s">
        <v>337</v>
      </c>
      <c r="J36" s="202" t="s">
        <v>417</v>
      </c>
      <c r="K36" s="23"/>
      <c r="L36" s="23"/>
      <c r="M36" s="206"/>
      <c r="N36" s="199"/>
      <c r="O36" s="37"/>
    </row>
    <row r="37" s="159" customFormat="1" ht="31.5" customHeight="1" spans="1:15">
      <c r="A37" s="204"/>
      <c r="B37" s="205"/>
      <c r="C37" s="201" t="s">
        <v>412</v>
      </c>
      <c r="D37" s="205"/>
      <c r="E37" s="37"/>
      <c r="F37" s="37"/>
      <c r="G37" s="202">
        <v>4</v>
      </c>
      <c r="H37" s="202" t="s">
        <v>408</v>
      </c>
      <c r="I37" s="202" t="s">
        <v>413</v>
      </c>
      <c r="J37" s="202" t="s">
        <v>418</v>
      </c>
      <c r="K37" s="23"/>
      <c r="L37" s="23"/>
      <c r="M37" s="206"/>
      <c r="N37" s="199"/>
      <c r="O37" s="37"/>
    </row>
    <row r="38" s="159" customFormat="1" ht="31.5" customHeight="1" spans="1:15">
      <c r="A38" s="204"/>
      <c r="B38" s="205"/>
      <c r="C38" s="205"/>
      <c r="D38" s="205"/>
      <c r="E38" s="37"/>
      <c r="F38" s="37"/>
      <c r="G38" s="202">
        <v>2</v>
      </c>
      <c r="H38" s="202" t="s">
        <v>408</v>
      </c>
      <c r="I38" s="202" t="s">
        <v>337</v>
      </c>
      <c r="J38" s="202" t="s">
        <v>419</v>
      </c>
      <c r="K38" s="23"/>
      <c r="L38" s="23"/>
      <c r="M38" s="206"/>
      <c r="N38" s="199"/>
      <c r="O38" s="37"/>
    </row>
    <row r="39" s="159" customFormat="1" ht="31.5" customHeight="1" spans="1:15">
      <c r="A39" s="204"/>
      <c r="B39" s="205"/>
      <c r="C39" s="201" t="s">
        <v>412</v>
      </c>
      <c r="D39" s="205"/>
      <c r="E39" s="37"/>
      <c r="F39" s="37"/>
      <c r="G39" s="202">
        <v>4</v>
      </c>
      <c r="H39" s="202" t="s">
        <v>408</v>
      </c>
      <c r="I39" s="202" t="s">
        <v>413</v>
      </c>
      <c r="J39" s="202" t="s">
        <v>420</v>
      </c>
      <c r="K39" s="23"/>
      <c r="L39" s="23"/>
      <c r="M39" s="206"/>
      <c r="N39" s="199"/>
      <c r="O39" s="37"/>
    </row>
    <row r="40" s="159" customFormat="1" ht="31.5" customHeight="1" spans="1:15">
      <c r="A40" s="204"/>
      <c r="B40" s="205"/>
      <c r="C40" s="205"/>
      <c r="D40" s="205"/>
      <c r="E40" s="37"/>
      <c r="F40" s="37"/>
      <c r="G40" s="202">
        <v>2</v>
      </c>
      <c r="H40" s="202" t="s">
        <v>408</v>
      </c>
      <c r="I40" s="202" t="s">
        <v>337</v>
      </c>
      <c r="J40" s="202" t="s">
        <v>421</v>
      </c>
      <c r="K40" s="23"/>
      <c r="L40" s="23"/>
      <c r="M40" s="206"/>
      <c r="N40" s="199"/>
      <c r="O40" s="37"/>
    </row>
    <row r="41" s="159" customFormat="1" ht="31.5" customHeight="1" spans="1:15">
      <c r="A41" s="204"/>
      <c r="B41" s="205"/>
      <c r="C41" s="201" t="s">
        <v>412</v>
      </c>
      <c r="D41" s="205"/>
      <c r="E41" s="37"/>
      <c r="F41" s="37"/>
      <c r="G41" s="202">
        <v>4</v>
      </c>
      <c r="H41" s="202" t="s">
        <v>408</v>
      </c>
      <c r="I41" s="202" t="s">
        <v>413</v>
      </c>
      <c r="J41" s="202" t="s">
        <v>422</v>
      </c>
      <c r="K41" s="23"/>
      <c r="L41" s="23"/>
      <c r="M41" s="206"/>
      <c r="N41" s="199"/>
      <c r="O41" s="37"/>
    </row>
    <row r="42" s="159" customFormat="1" ht="31.5" customHeight="1" spans="1:15">
      <c r="A42" s="204"/>
      <c r="B42" s="205"/>
      <c r="C42" s="205"/>
      <c r="D42" s="205"/>
      <c r="E42" s="37"/>
      <c r="F42" s="37"/>
      <c r="G42" s="202">
        <v>2</v>
      </c>
      <c r="H42" s="202" t="s">
        <v>408</v>
      </c>
      <c r="I42" s="202" t="s">
        <v>337</v>
      </c>
      <c r="J42" s="202" t="s">
        <v>423</v>
      </c>
      <c r="K42" s="23"/>
      <c r="L42" s="23"/>
      <c r="M42" s="206"/>
      <c r="N42" s="199"/>
      <c r="O42" s="37"/>
    </row>
    <row r="43" s="159" customFormat="1" ht="31.5" customHeight="1" spans="1:15">
      <c r="A43" s="204"/>
      <c r="B43" s="205"/>
      <c r="C43" s="201" t="s">
        <v>412</v>
      </c>
      <c r="D43" s="205"/>
      <c r="E43" s="37"/>
      <c r="F43" s="37"/>
      <c r="G43" s="202">
        <v>4</v>
      </c>
      <c r="H43" s="202" t="s">
        <v>408</v>
      </c>
      <c r="I43" s="202" t="s">
        <v>413</v>
      </c>
      <c r="J43" s="202" t="s">
        <v>424</v>
      </c>
      <c r="K43" s="23"/>
      <c r="L43" s="23"/>
      <c r="M43" s="206"/>
      <c r="N43" s="199"/>
      <c r="O43" s="37"/>
    </row>
    <row r="44" s="159" customFormat="1" ht="31.5" customHeight="1" spans="1:15">
      <c r="A44" s="204"/>
      <c r="B44" s="205"/>
      <c r="C44" s="205"/>
      <c r="D44" s="205"/>
      <c r="E44" s="37"/>
      <c r="F44" s="37"/>
      <c r="G44" s="202">
        <v>2</v>
      </c>
      <c r="H44" s="202" t="s">
        <v>408</v>
      </c>
      <c r="I44" s="202" t="s">
        <v>337</v>
      </c>
      <c r="J44" s="202" t="s">
        <v>425</v>
      </c>
      <c r="K44" s="23"/>
      <c r="L44" s="23"/>
      <c r="M44" s="206"/>
      <c r="N44" s="199"/>
      <c r="O44" s="37"/>
    </row>
    <row r="45" s="159" customFormat="1" ht="31.5" customHeight="1" spans="1:15">
      <c r="A45" s="204"/>
      <c r="B45" s="205"/>
      <c r="C45" s="201" t="s">
        <v>412</v>
      </c>
      <c r="D45" s="205"/>
      <c r="E45" s="37"/>
      <c r="F45" s="37"/>
      <c r="G45" s="202">
        <v>4</v>
      </c>
      <c r="H45" s="202" t="s">
        <v>408</v>
      </c>
      <c r="I45" s="202" t="s">
        <v>413</v>
      </c>
      <c r="J45" s="202" t="s">
        <v>426</v>
      </c>
      <c r="K45" s="23"/>
      <c r="L45" s="23"/>
      <c r="M45" s="206"/>
      <c r="N45" s="199"/>
      <c r="O45" s="37"/>
    </row>
    <row r="46" s="159" customFormat="1" ht="31.5" customHeight="1" spans="1:15">
      <c r="A46" s="204"/>
      <c r="B46" s="205"/>
      <c r="C46" s="205"/>
      <c r="D46" s="205"/>
      <c r="E46" s="37"/>
      <c r="F46" s="37"/>
      <c r="G46" s="202">
        <v>2</v>
      </c>
      <c r="H46" s="202" t="s">
        <v>408</v>
      </c>
      <c r="I46" s="202" t="s">
        <v>337</v>
      </c>
      <c r="J46" s="202" t="s">
        <v>427</v>
      </c>
      <c r="K46" s="23"/>
      <c r="L46" s="23"/>
      <c r="M46" s="206"/>
      <c r="N46" s="199"/>
      <c r="O46" s="37"/>
    </row>
    <row r="47" s="159" customFormat="1" ht="31.5" customHeight="1" spans="1:15">
      <c r="A47" s="204"/>
      <c r="B47" s="205"/>
      <c r="C47" s="201" t="s">
        <v>412</v>
      </c>
      <c r="D47" s="205"/>
      <c r="E47" s="37"/>
      <c r="F47" s="37"/>
      <c r="G47" s="202">
        <v>4</v>
      </c>
      <c r="H47" s="202" t="s">
        <v>408</v>
      </c>
      <c r="I47" s="202" t="s">
        <v>413</v>
      </c>
      <c r="J47" s="202" t="s">
        <v>428</v>
      </c>
      <c r="K47" s="23"/>
      <c r="L47" s="23"/>
      <c r="M47" s="206"/>
      <c r="N47" s="199"/>
      <c r="O47" s="37"/>
    </row>
    <row r="48" s="159" customFormat="1" ht="31.5" customHeight="1" spans="1:15">
      <c r="A48" s="204"/>
      <c r="B48" s="205"/>
      <c r="C48" s="205"/>
      <c r="D48" s="205"/>
      <c r="E48" s="37"/>
      <c r="F48" s="37"/>
      <c r="G48" s="202">
        <v>2</v>
      </c>
      <c r="H48" s="202" t="s">
        <v>408</v>
      </c>
      <c r="I48" s="202" t="s">
        <v>337</v>
      </c>
      <c r="J48" s="202" t="s">
        <v>429</v>
      </c>
      <c r="K48" s="23"/>
      <c r="L48" s="23"/>
      <c r="M48" s="206"/>
      <c r="N48" s="199"/>
      <c r="O48" s="37"/>
    </row>
    <row r="49" s="159" customFormat="1" ht="31.5" customHeight="1" spans="1:15">
      <c r="A49" s="204"/>
      <c r="B49" s="205"/>
      <c r="C49" s="201" t="s">
        <v>412</v>
      </c>
      <c r="D49" s="205"/>
      <c r="E49" s="37"/>
      <c r="F49" s="37"/>
      <c r="G49" s="202">
        <v>4</v>
      </c>
      <c r="H49" s="202" t="s">
        <v>408</v>
      </c>
      <c r="I49" s="202" t="s">
        <v>413</v>
      </c>
      <c r="J49" s="202" t="s">
        <v>430</v>
      </c>
      <c r="K49" s="23"/>
      <c r="L49" s="23"/>
      <c r="M49" s="206"/>
      <c r="N49" s="199"/>
      <c r="O49" s="37"/>
    </row>
    <row r="50" s="159" customFormat="1" ht="31.5" customHeight="1" spans="1:15">
      <c r="A50" s="204"/>
      <c r="B50" s="205"/>
      <c r="C50" s="205"/>
      <c r="D50" s="205"/>
      <c r="E50" s="37"/>
      <c r="F50" s="37"/>
      <c r="G50" s="202">
        <v>2</v>
      </c>
      <c r="H50" s="202" t="s">
        <v>408</v>
      </c>
      <c r="I50" s="202" t="s">
        <v>337</v>
      </c>
      <c r="J50" s="202" t="s">
        <v>431</v>
      </c>
      <c r="K50" s="23"/>
      <c r="L50" s="23"/>
      <c r="M50" s="206"/>
      <c r="N50" s="199"/>
      <c r="O50" s="37"/>
    </row>
    <row r="51" s="159" customFormat="1" ht="31.5" customHeight="1" spans="1:15">
      <c r="A51" s="204"/>
      <c r="B51" s="205"/>
      <c r="C51" s="201" t="s">
        <v>412</v>
      </c>
      <c r="D51" s="205"/>
      <c r="E51" s="37"/>
      <c r="F51" s="37"/>
      <c r="G51" s="202">
        <v>4</v>
      </c>
      <c r="H51" s="202" t="s">
        <v>408</v>
      </c>
      <c r="I51" s="202" t="s">
        <v>413</v>
      </c>
      <c r="J51" s="202" t="s">
        <v>432</v>
      </c>
      <c r="K51" s="23"/>
      <c r="L51" s="23"/>
      <c r="M51" s="206"/>
      <c r="N51" s="199"/>
      <c r="O51" s="37"/>
    </row>
    <row r="52" s="159" customFormat="1" ht="31.5" customHeight="1" spans="1:15">
      <c r="A52" s="204"/>
      <c r="B52" s="205"/>
      <c r="C52" s="205"/>
      <c r="D52" s="205"/>
      <c r="E52" s="37"/>
      <c r="F52" s="37"/>
      <c r="G52" s="202">
        <v>2</v>
      </c>
      <c r="H52" s="202" t="s">
        <v>408</v>
      </c>
      <c r="I52" s="202" t="s">
        <v>337</v>
      </c>
      <c r="J52" s="202" t="s">
        <v>433</v>
      </c>
      <c r="K52" s="23"/>
      <c r="L52" s="23"/>
      <c r="M52" s="206"/>
      <c r="N52" s="199"/>
      <c r="O52" s="37"/>
    </row>
    <row r="53" s="159" customFormat="1" ht="31.5" customHeight="1" spans="1:15">
      <c r="A53" s="204"/>
      <c r="B53" s="205"/>
      <c r="C53" s="201" t="s">
        <v>412</v>
      </c>
      <c r="D53" s="205"/>
      <c r="E53" s="37"/>
      <c r="F53" s="37"/>
      <c r="G53" s="202">
        <v>4</v>
      </c>
      <c r="H53" s="202" t="s">
        <v>408</v>
      </c>
      <c r="I53" s="202" t="s">
        <v>413</v>
      </c>
      <c r="J53" s="202" t="s">
        <v>434</v>
      </c>
      <c r="K53" s="23"/>
      <c r="L53" s="23"/>
      <c r="M53" s="206"/>
      <c r="N53" s="199"/>
      <c r="O53" s="37"/>
    </row>
    <row r="54" s="159" customFormat="1" ht="31.5" customHeight="1" spans="1:15">
      <c r="A54" s="204"/>
      <c r="B54" s="205"/>
      <c r="C54" s="205"/>
      <c r="D54" s="205"/>
      <c r="E54" s="37"/>
      <c r="F54" s="37"/>
      <c r="G54" s="202">
        <v>2</v>
      </c>
      <c r="H54" s="202" t="s">
        <v>408</v>
      </c>
      <c r="I54" s="202" t="s">
        <v>337</v>
      </c>
      <c r="J54" s="202" t="s">
        <v>435</v>
      </c>
      <c r="K54" s="23"/>
      <c r="L54" s="23"/>
      <c r="M54" s="206"/>
      <c r="N54" s="199"/>
      <c r="O54" s="37"/>
    </row>
    <row r="55" s="159" customFormat="1" ht="31.5" customHeight="1" spans="1:15">
      <c r="A55" s="204"/>
      <c r="B55" s="205"/>
      <c r="C55" s="201" t="s">
        <v>412</v>
      </c>
      <c r="D55" s="205"/>
      <c r="E55" s="37"/>
      <c r="F55" s="37"/>
      <c r="G55" s="202">
        <v>4</v>
      </c>
      <c r="H55" s="202" t="s">
        <v>408</v>
      </c>
      <c r="I55" s="202" t="s">
        <v>413</v>
      </c>
      <c r="J55" s="202" t="s">
        <v>436</v>
      </c>
      <c r="K55" s="23"/>
      <c r="L55" s="23"/>
      <c r="M55" s="206"/>
      <c r="N55" s="199"/>
      <c r="O55" s="37"/>
    </row>
    <row r="56" s="159" customFormat="1" ht="31.5" customHeight="1" spans="1:15">
      <c r="A56" s="204"/>
      <c r="B56" s="205"/>
      <c r="C56" s="205"/>
      <c r="D56" s="205"/>
      <c r="E56" s="37"/>
      <c r="F56" s="37"/>
      <c r="G56" s="202">
        <v>2</v>
      </c>
      <c r="H56" s="202" t="s">
        <v>408</v>
      </c>
      <c r="I56" s="202" t="s">
        <v>337</v>
      </c>
      <c r="J56" s="202" t="s">
        <v>437</v>
      </c>
      <c r="K56" s="23"/>
      <c r="L56" s="23"/>
      <c r="M56" s="206"/>
      <c r="N56" s="199"/>
      <c r="O56" s="37"/>
    </row>
    <row r="57" s="159" customFormat="1" ht="31.5" customHeight="1" spans="1:15">
      <c r="A57" s="204"/>
      <c r="B57" s="205"/>
      <c r="C57" s="201" t="s">
        <v>412</v>
      </c>
      <c r="D57" s="205"/>
      <c r="E57" s="37"/>
      <c r="F57" s="37"/>
      <c r="G57" s="202">
        <v>4</v>
      </c>
      <c r="H57" s="202" t="s">
        <v>408</v>
      </c>
      <c r="I57" s="202" t="s">
        <v>413</v>
      </c>
      <c r="J57" s="202" t="s">
        <v>438</v>
      </c>
      <c r="K57" s="23"/>
      <c r="L57" s="23"/>
      <c r="M57" s="206"/>
      <c r="N57" s="199"/>
      <c r="O57" s="37"/>
    </row>
    <row r="58" s="159" customFormat="1" ht="31.5" customHeight="1" spans="1:15">
      <c r="A58" s="204"/>
      <c r="B58" s="205"/>
      <c r="C58" s="205"/>
      <c r="D58" s="205"/>
      <c r="E58" s="37"/>
      <c r="F58" s="37"/>
      <c r="G58" s="202">
        <v>2</v>
      </c>
      <c r="H58" s="202" t="s">
        <v>408</v>
      </c>
      <c r="I58" s="202" t="s">
        <v>337</v>
      </c>
      <c r="J58" s="202" t="s">
        <v>439</v>
      </c>
      <c r="K58" s="23"/>
      <c r="L58" s="23"/>
      <c r="M58" s="206"/>
      <c r="N58" s="199"/>
      <c r="O58" s="37"/>
    </row>
    <row r="59" s="159" customFormat="1" ht="31.5" customHeight="1" spans="1:15">
      <c r="A59" s="204"/>
      <c r="B59" s="205"/>
      <c r="C59" s="201" t="s">
        <v>412</v>
      </c>
      <c r="D59" s="205"/>
      <c r="E59" s="37"/>
      <c r="F59" s="37"/>
      <c r="G59" s="202">
        <v>4</v>
      </c>
      <c r="H59" s="202" t="s">
        <v>408</v>
      </c>
      <c r="I59" s="202" t="s">
        <v>413</v>
      </c>
      <c r="J59" s="202" t="s">
        <v>440</v>
      </c>
      <c r="K59" s="23"/>
      <c r="L59" s="23"/>
      <c r="M59" s="206"/>
      <c r="N59" s="199"/>
      <c r="O59" s="37"/>
    </row>
    <row r="60" s="159" customFormat="1" ht="31.5" customHeight="1" spans="1:15">
      <c r="A60" s="204"/>
      <c r="B60" s="205"/>
      <c r="C60" s="205"/>
      <c r="D60" s="205"/>
      <c r="E60" s="37"/>
      <c r="F60" s="37"/>
      <c r="G60" s="202">
        <v>2</v>
      </c>
      <c r="H60" s="202" t="s">
        <v>408</v>
      </c>
      <c r="I60" s="202" t="s">
        <v>337</v>
      </c>
      <c r="J60" s="202" t="s">
        <v>441</v>
      </c>
      <c r="K60" s="23"/>
      <c r="L60" s="23"/>
      <c r="M60" s="206"/>
      <c r="N60" s="199"/>
      <c r="O60" s="37"/>
    </row>
    <row r="61" s="159" customFormat="1" ht="31.5" customHeight="1" spans="1:15">
      <c r="A61" s="204"/>
      <c r="B61" s="205"/>
      <c r="C61" s="201" t="s">
        <v>412</v>
      </c>
      <c r="D61" s="205"/>
      <c r="E61" s="37"/>
      <c r="F61" s="37"/>
      <c r="G61" s="202">
        <v>4</v>
      </c>
      <c r="H61" s="202" t="s">
        <v>408</v>
      </c>
      <c r="I61" s="202" t="s">
        <v>413</v>
      </c>
      <c r="J61" s="202" t="s">
        <v>442</v>
      </c>
      <c r="K61" s="23"/>
      <c r="L61" s="23"/>
      <c r="M61" s="206"/>
      <c r="N61" s="199"/>
      <c r="O61" s="37"/>
    </row>
    <row r="62" s="159" customFormat="1" ht="31.5" customHeight="1" spans="1:15">
      <c r="A62" s="207"/>
      <c r="B62" s="208"/>
      <c r="C62" s="205"/>
      <c r="D62" s="208"/>
      <c r="E62" s="37"/>
      <c r="F62" s="37"/>
      <c r="G62" s="202">
        <v>2</v>
      </c>
      <c r="H62" s="202" t="s">
        <v>408</v>
      </c>
      <c r="I62" s="202" t="s">
        <v>337</v>
      </c>
      <c r="J62" s="202" t="s">
        <v>443</v>
      </c>
      <c r="K62" s="34"/>
      <c r="L62" s="34"/>
      <c r="M62" s="209"/>
      <c r="N62" s="199"/>
      <c r="O62" s="37"/>
    </row>
    <row r="63" s="159" customFormat="1" ht="31.5" customHeight="1" spans="1:15">
      <c r="A63" s="201" t="s">
        <v>155</v>
      </c>
      <c r="B63" s="201" t="s">
        <v>67</v>
      </c>
      <c r="C63" s="201" t="s">
        <v>444</v>
      </c>
      <c r="D63" s="201" t="s">
        <v>109</v>
      </c>
      <c r="E63" s="37"/>
      <c r="F63" s="37"/>
      <c r="G63" s="202">
        <v>4</v>
      </c>
      <c r="H63" s="202" t="s">
        <v>408</v>
      </c>
      <c r="I63" s="202" t="s">
        <v>413</v>
      </c>
      <c r="J63" s="202" t="s">
        <v>414</v>
      </c>
      <c r="K63" s="21" t="s">
        <v>111</v>
      </c>
      <c r="L63" s="21" t="s">
        <v>111</v>
      </c>
      <c r="M63" s="203"/>
      <c r="N63" s="199" t="s">
        <v>112</v>
      </c>
      <c r="O63" s="37" t="s">
        <v>263</v>
      </c>
    </row>
    <row r="64" s="159" customFormat="1" ht="31.5" customHeight="1" spans="1:15">
      <c r="A64" s="205"/>
      <c r="B64" s="205"/>
      <c r="C64" s="205"/>
      <c r="D64" s="205"/>
      <c r="E64" s="37"/>
      <c r="F64" s="37"/>
      <c r="G64" s="202">
        <v>2</v>
      </c>
      <c r="H64" s="202" t="s">
        <v>408</v>
      </c>
      <c r="I64" s="202" t="s">
        <v>337</v>
      </c>
      <c r="J64" s="202" t="s">
        <v>415</v>
      </c>
      <c r="K64" s="23"/>
      <c r="L64" s="23"/>
      <c r="M64" s="206"/>
      <c r="N64" s="199"/>
      <c r="O64" s="37"/>
    </row>
    <row r="65" s="159" customFormat="1" ht="31.5" customHeight="1" spans="1:15">
      <c r="A65" s="205"/>
      <c r="B65" s="205"/>
      <c r="C65" s="201" t="s">
        <v>444</v>
      </c>
      <c r="D65" s="205"/>
      <c r="E65" s="37"/>
      <c r="F65" s="37"/>
      <c r="G65" s="202">
        <v>4</v>
      </c>
      <c r="H65" s="202" t="s">
        <v>408</v>
      </c>
      <c r="I65" s="202" t="s">
        <v>413</v>
      </c>
      <c r="J65" s="202" t="s">
        <v>416</v>
      </c>
      <c r="K65" s="23"/>
      <c r="L65" s="23"/>
      <c r="M65" s="206"/>
      <c r="N65" s="199"/>
      <c r="O65" s="37"/>
    </row>
    <row r="66" s="159" customFormat="1" ht="31.5" customHeight="1" spans="1:15">
      <c r="A66" s="205"/>
      <c r="B66" s="205"/>
      <c r="C66" s="205"/>
      <c r="D66" s="205"/>
      <c r="E66" s="37"/>
      <c r="F66" s="37"/>
      <c r="G66" s="202">
        <v>2</v>
      </c>
      <c r="H66" s="202" t="s">
        <v>408</v>
      </c>
      <c r="I66" s="202" t="s">
        <v>337</v>
      </c>
      <c r="J66" s="202" t="s">
        <v>417</v>
      </c>
      <c r="K66" s="23"/>
      <c r="L66" s="23"/>
      <c r="M66" s="206"/>
      <c r="N66" s="199"/>
      <c r="O66" s="37"/>
    </row>
    <row r="67" s="159" customFormat="1" ht="31.5" customHeight="1" spans="1:15">
      <c r="A67" s="205"/>
      <c r="B67" s="205"/>
      <c r="C67" s="201" t="s">
        <v>444</v>
      </c>
      <c r="D67" s="205"/>
      <c r="E67" s="37"/>
      <c r="F67" s="37"/>
      <c r="G67" s="202">
        <v>4</v>
      </c>
      <c r="H67" s="202" t="s">
        <v>408</v>
      </c>
      <c r="I67" s="202" t="s">
        <v>413</v>
      </c>
      <c r="J67" s="202" t="s">
        <v>418</v>
      </c>
      <c r="K67" s="23"/>
      <c r="L67" s="23"/>
      <c r="M67" s="206"/>
      <c r="N67" s="199"/>
      <c r="O67" s="37"/>
    </row>
    <row r="68" s="159" customFormat="1" ht="31.5" customHeight="1" spans="1:15">
      <c r="A68" s="205"/>
      <c r="B68" s="205"/>
      <c r="C68" s="205"/>
      <c r="D68" s="205"/>
      <c r="E68" s="37"/>
      <c r="F68" s="37"/>
      <c r="G68" s="202">
        <v>2</v>
      </c>
      <c r="H68" s="202" t="s">
        <v>408</v>
      </c>
      <c r="I68" s="202" t="s">
        <v>337</v>
      </c>
      <c r="J68" s="202" t="s">
        <v>419</v>
      </c>
      <c r="K68" s="23"/>
      <c r="L68" s="23"/>
      <c r="M68" s="206"/>
      <c r="N68" s="199"/>
      <c r="O68" s="37"/>
    </row>
    <row r="69" s="159" customFormat="1" ht="31.5" customHeight="1" spans="1:15">
      <c r="A69" s="205"/>
      <c r="B69" s="205"/>
      <c r="C69" s="201" t="s">
        <v>444</v>
      </c>
      <c r="D69" s="205"/>
      <c r="E69" s="37"/>
      <c r="F69" s="37"/>
      <c r="G69" s="202">
        <v>4</v>
      </c>
      <c r="H69" s="202" t="s">
        <v>408</v>
      </c>
      <c r="I69" s="202" t="s">
        <v>413</v>
      </c>
      <c r="J69" s="202" t="s">
        <v>420</v>
      </c>
      <c r="K69" s="23"/>
      <c r="L69" s="23"/>
      <c r="M69" s="206"/>
      <c r="N69" s="199"/>
      <c r="O69" s="37"/>
    </row>
    <row r="70" s="159" customFormat="1" ht="31.5" customHeight="1" spans="1:15">
      <c r="A70" s="205"/>
      <c r="B70" s="205"/>
      <c r="C70" s="205"/>
      <c r="D70" s="205"/>
      <c r="E70" s="37"/>
      <c r="F70" s="37"/>
      <c r="G70" s="202">
        <v>2</v>
      </c>
      <c r="H70" s="202" t="s">
        <v>408</v>
      </c>
      <c r="I70" s="202" t="s">
        <v>337</v>
      </c>
      <c r="J70" s="202" t="s">
        <v>421</v>
      </c>
      <c r="K70" s="23"/>
      <c r="L70" s="23"/>
      <c r="M70" s="206"/>
      <c r="N70" s="199"/>
      <c r="O70" s="37"/>
    </row>
    <row r="71" s="159" customFormat="1" ht="31.5" customHeight="1" spans="1:15">
      <c r="A71" s="205"/>
      <c r="B71" s="205"/>
      <c r="C71" s="201" t="s">
        <v>444</v>
      </c>
      <c r="D71" s="205"/>
      <c r="E71" s="37"/>
      <c r="F71" s="37"/>
      <c r="G71" s="202">
        <v>4</v>
      </c>
      <c r="H71" s="202" t="s">
        <v>408</v>
      </c>
      <c r="I71" s="202" t="s">
        <v>413</v>
      </c>
      <c r="J71" s="202" t="s">
        <v>422</v>
      </c>
      <c r="K71" s="23"/>
      <c r="L71" s="23"/>
      <c r="M71" s="206"/>
      <c r="N71" s="199"/>
      <c r="O71" s="37"/>
    </row>
    <row r="72" s="159" customFormat="1" ht="31.5" customHeight="1" spans="1:15">
      <c r="A72" s="205"/>
      <c r="B72" s="205"/>
      <c r="C72" s="205"/>
      <c r="D72" s="205"/>
      <c r="E72" s="37"/>
      <c r="F72" s="37"/>
      <c r="G72" s="202">
        <v>2</v>
      </c>
      <c r="H72" s="202" t="s">
        <v>408</v>
      </c>
      <c r="I72" s="202" t="s">
        <v>337</v>
      </c>
      <c r="J72" s="202" t="s">
        <v>423</v>
      </c>
      <c r="K72" s="23"/>
      <c r="L72" s="23"/>
      <c r="M72" s="206"/>
      <c r="N72" s="199"/>
      <c r="O72" s="37"/>
    </row>
    <row r="73" s="159" customFormat="1" ht="31.5" customHeight="1" spans="1:15">
      <c r="A73" s="205"/>
      <c r="B73" s="205"/>
      <c r="C73" s="201" t="s">
        <v>444</v>
      </c>
      <c r="D73" s="205"/>
      <c r="E73" s="37"/>
      <c r="F73" s="37"/>
      <c r="G73" s="202">
        <v>4</v>
      </c>
      <c r="H73" s="202" t="s">
        <v>408</v>
      </c>
      <c r="I73" s="202" t="s">
        <v>413</v>
      </c>
      <c r="J73" s="202" t="s">
        <v>424</v>
      </c>
      <c r="K73" s="23"/>
      <c r="L73" s="23"/>
      <c r="M73" s="206"/>
      <c r="N73" s="199"/>
      <c r="O73" s="37"/>
    </row>
    <row r="74" s="159" customFormat="1" ht="31.5" customHeight="1" spans="1:15">
      <c r="A74" s="205"/>
      <c r="B74" s="205"/>
      <c r="C74" s="205"/>
      <c r="D74" s="205"/>
      <c r="E74" s="37"/>
      <c r="F74" s="37"/>
      <c r="G74" s="202">
        <v>2</v>
      </c>
      <c r="H74" s="202" t="s">
        <v>408</v>
      </c>
      <c r="I74" s="202" t="s">
        <v>337</v>
      </c>
      <c r="J74" s="202" t="s">
        <v>425</v>
      </c>
      <c r="K74" s="23"/>
      <c r="L74" s="23"/>
      <c r="M74" s="206"/>
      <c r="N74" s="199"/>
      <c r="O74" s="37"/>
    </row>
    <row r="75" s="159" customFormat="1" ht="31.5" customHeight="1" spans="1:15">
      <c r="A75" s="205"/>
      <c r="B75" s="205"/>
      <c r="C75" s="201" t="s">
        <v>444</v>
      </c>
      <c r="D75" s="205"/>
      <c r="E75" s="37"/>
      <c r="F75" s="37"/>
      <c r="G75" s="202">
        <v>4</v>
      </c>
      <c r="H75" s="202" t="s">
        <v>408</v>
      </c>
      <c r="I75" s="202" t="s">
        <v>413</v>
      </c>
      <c r="J75" s="202" t="s">
        <v>426</v>
      </c>
      <c r="K75" s="23"/>
      <c r="L75" s="23"/>
      <c r="M75" s="206"/>
      <c r="N75" s="199"/>
      <c r="O75" s="37"/>
    </row>
    <row r="76" s="159" customFormat="1" ht="31.5" customHeight="1" spans="1:15">
      <c r="A76" s="205"/>
      <c r="B76" s="205"/>
      <c r="C76" s="205"/>
      <c r="D76" s="205"/>
      <c r="E76" s="37"/>
      <c r="F76" s="37"/>
      <c r="G76" s="202">
        <v>2</v>
      </c>
      <c r="H76" s="202" t="s">
        <v>408</v>
      </c>
      <c r="I76" s="202" t="s">
        <v>337</v>
      </c>
      <c r="J76" s="202" t="s">
        <v>427</v>
      </c>
      <c r="K76" s="23"/>
      <c r="L76" s="23"/>
      <c r="M76" s="206"/>
      <c r="N76" s="199"/>
      <c r="O76" s="37"/>
    </row>
    <row r="77" s="159" customFormat="1" ht="31.5" customHeight="1" spans="1:15">
      <c r="A77" s="205"/>
      <c r="B77" s="205"/>
      <c r="C77" s="201" t="s">
        <v>444</v>
      </c>
      <c r="D77" s="205"/>
      <c r="E77" s="37"/>
      <c r="F77" s="37"/>
      <c r="G77" s="202">
        <v>4</v>
      </c>
      <c r="H77" s="202" t="s">
        <v>408</v>
      </c>
      <c r="I77" s="202" t="s">
        <v>413</v>
      </c>
      <c r="J77" s="202" t="s">
        <v>428</v>
      </c>
      <c r="K77" s="23"/>
      <c r="L77" s="23"/>
      <c r="M77" s="206"/>
      <c r="N77" s="199"/>
      <c r="O77" s="37"/>
    </row>
    <row r="78" s="159" customFormat="1" ht="31.5" customHeight="1" spans="1:15">
      <c r="A78" s="205"/>
      <c r="B78" s="205"/>
      <c r="C78" s="205"/>
      <c r="D78" s="205"/>
      <c r="E78" s="37"/>
      <c r="F78" s="37"/>
      <c r="G78" s="202">
        <v>2</v>
      </c>
      <c r="H78" s="202" t="s">
        <v>408</v>
      </c>
      <c r="I78" s="202" t="s">
        <v>337</v>
      </c>
      <c r="J78" s="202" t="s">
        <v>429</v>
      </c>
      <c r="K78" s="23"/>
      <c r="L78" s="23"/>
      <c r="M78" s="206"/>
      <c r="N78" s="199"/>
      <c r="O78" s="37"/>
    </row>
    <row r="79" s="159" customFormat="1" ht="31.5" customHeight="1" spans="1:15">
      <c r="A79" s="205"/>
      <c r="B79" s="205"/>
      <c r="C79" s="201" t="s">
        <v>444</v>
      </c>
      <c r="D79" s="205"/>
      <c r="E79" s="37"/>
      <c r="F79" s="37"/>
      <c r="G79" s="202">
        <v>4</v>
      </c>
      <c r="H79" s="202" t="s">
        <v>408</v>
      </c>
      <c r="I79" s="202" t="s">
        <v>413</v>
      </c>
      <c r="J79" s="202" t="s">
        <v>430</v>
      </c>
      <c r="K79" s="23"/>
      <c r="L79" s="23"/>
      <c r="M79" s="206"/>
      <c r="N79" s="199"/>
      <c r="O79" s="37"/>
    </row>
    <row r="80" s="159" customFormat="1" ht="31.5" customHeight="1" spans="1:15">
      <c r="A80" s="205"/>
      <c r="B80" s="205"/>
      <c r="C80" s="205"/>
      <c r="D80" s="205"/>
      <c r="E80" s="37"/>
      <c r="F80" s="37"/>
      <c r="G80" s="202">
        <v>2</v>
      </c>
      <c r="H80" s="202" t="s">
        <v>408</v>
      </c>
      <c r="I80" s="202" t="s">
        <v>337</v>
      </c>
      <c r="J80" s="202" t="s">
        <v>431</v>
      </c>
      <c r="K80" s="23"/>
      <c r="L80" s="23"/>
      <c r="M80" s="206"/>
      <c r="N80" s="199"/>
      <c r="O80" s="37"/>
    </row>
    <row r="81" s="159" customFormat="1" ht="31.5" customHeight="1" spans="1:15">
      <c r="A81" s="205"/>
      <c r="B81" s="205"/>
      <c r="C81" s="201" t="s">
        <v>444</v>
      </c>
      <c r="D81" s="205"/>
      <c r="E81" s="37"/>
      <c r="F81" s="37"/>
      <c r="G81" s="202">
        <v>4</v>
      </c>
      <c r="H81" s="202" t="s">
        <v>408</v>
      </c>
      <c r="I81" s="202" t="s">
        <v>413</v>
      </c>
      <c r="J81" s="202" t="s">
        <v>432</v>
      </c>
      <c r="K81" s="23"/>
      <c r="L81" s="23"/>
      <c r="M81" s="206"/>
      <c r="N81" s="199"/>
      <c r="O81" s="37"/>
    </row>
    <row r="82" s="159" customFormat="1" ht="31.5" customHeight="1" spans="1:15">
      <c r="A82" s="205"/>
      <c r="B82" s="205"/>
      <c r="C82" s="205"/>
      <c r="D82" s="205"/>
      <c r="E82" s="37"/>
      <c r="F82" s="37"/>
      <c r="G82" s="202">
        <v>2</v>
      </c>
      <c r="H82" s="202" t="s">
        <v>408</v>
      </c>
      <c r="I82" s="202" t="s">
        <v>337</v>
      </c>
      <c r="J82" s="202" t="s">
        <v>433</v>
      </c>
      <c r="K82" s="23"/>
      <c r="L82" s="23"/>
      <c r="M82" s="206"/>
      <c r="N82" s="199"/>
      <c r="O82" s="37"/>
    </row>
    <row r="83" s="159" customFormat="1" ht="31.5" customHeight="1" spans="1:15">
      <c r="A83" s="205"/>
      <c r="B83" s="205"/>
      <c r="C83" s="201" t="s">
        <v>444</v>
      </c>
      <c r="D83" s="205"/>
      <c r="E83" s="37"/>
      <c r="F83" s="37"/>
      <c r="G83" s="202">
        <v>4</v>
      </c>
      <c r="H83" s="202" t="s">
        <v>408</v>
      </c>
      <c r="I83" s="202" t="s">
        <v>413</v>
      </c>
      <c r="J83" s="202" t="s">
        <v>434</v>
      </c>
      <c r="K83" s="23"/>
      <c r="L83" s="23"/>
      <c r="M83" s="206"/>
      <c r="N83" s="199"/>
      <c r="O83" s="37"/>
    </row>
    <row r="84" s="159" customFormat="1" ht="31.5" customHeight="1" spans="1:15">
      <c r="A84" s="205"/>
      <c r="B84" s="205"/>
      <c r="C84" s="205"/>
      <c r="D84" s="205"/>
      <c r="E84" s="37"/>
      <c r="F84" s="37"/>
      <c r="G84" s="202">
        <v>2</v>
      </c>
      <c r="H84" s="202" t="s">
        <v>408</v>
      </c>
      <c r="I84" s="202" t="s">
        <v>337</v>
      </c>
      <c r="J84" s="202" t="s">
        <v>435</v>
      </c>
      <c r="K84" s="23"/>
      <c r="L84" s="23"/>
      <c r="M84" s="206"/>
      <c r="N84" s="199"/>
      <c r="O84" s="37"/>
    </row>
    <row r="85" s="159" customFormat="1" ht="31.5" customHeight="1" spans="1:15">
      <c r="A85" s="205"/>
      <c r="B85" s="205"/>
      <c r="C85" s="201" t="s">
        <v>444</v>
      </c>
      <c r="D85" s="205"/>
      <c r="E85" s="37"/>
      <c r="F85" s="37"/>
      <c r="G85" s="202">
        <v>4</v>
      </c>
      <c r="H85" s="202" t="s">
        <v>408</v>
      </c>
      <c r="I85" s="202" t="s">
        <v>413</v>
      </c>
      <c r="J85" s="202" t="s">
        <v>436</v>
      </c>
      <c r="K85" s="23"/>
      <c r="L85" s="23"/>
      <c r="M85" s="206"/>
      <c r="N85" s="199"/>
      <c r="O85" s="37"/>
    </row>
    <row r="86" s="159" customFormat="1" ht="31.5" customHeight="1" spans="1:15">
      <c r="A86" s="205"/>
      <c r="B86" s="205"/>
      <c r="C86" s="205"/>
      <c r="D86" s="205"/>
      <c r="E86" s="37"/>
      <c r="F86" s="37"/>
      <c r="G86" s="202">
        <v>2</v>
      </c>
      <c r="H86" s="202" t="s">
        <v>408</v>
      </c>
      <c r="I86" s="202" t="s">
        <v>337</v>
      </c>
      <c r="J86" s="202" t="s">
        <v>437</v>
      </c>
      <c r="K86" s="23"/>
      <c r="L86" s="23"/>
      <c r="M86" s="206"/>
      <c r="N86" s="199"/>
      <c r="O86" s="37"/>
    </row>
    <row r="87" s="159" customFormat="1" ht="31.5" customHeight="1" spans="1:15">
      <c r="A87" s="205"/>
      <c r="B87" s="205"/>
      <c r="C87" s="201" t="s">
        <v>444</v>
      </c>
      <c r="D87" s="205"/>
      <c r="E87" s="37"/>
      <c r="F87" s="37"/>
      <c r="G87" s="202">
        <v>4</v>
      </c>
      <c r="H87" s="202" t="s">
        <v>408</v>
      </c>
      <c r="I87" s="202" t="s">
        <v>413</v>
      </c>
      <c r="J87" s="202" t="s">
        <v>438</v>
      </c>
      <c r="K87" s="23"/>
      <c r="L87" s="23"/>
      <c r="M87" s="206"/>
      <c r="N87" s="199"/>
      <c r="O87" s="37"/>
    </row>
    <row r="88" s="159" customFormat="1" ht="31.5" customHeight="1" spans="1:15">
      <c r="A88" s="205"/>
      <c r="B88" s="205"/>
      <c r="C88" s="205"/>
      <c r="D88" s="205"/>
      <c r="E88" s="37"/>
      <c r="F88" s="37"/>
      <c r="G88" s="202">
        <v>2</v>
      </c>
      <c r="H88" s="202" t="s">
        <v>408</v>
      </c>
      <c r="I88" s="202" t="s">
        <v>337</v>
      </c>
      <c r="J88" s="202" t="s">
        <v>439</v>
      </c>
      <c r="K88" s="23"/>
      <c r="L88" s="23"/>
      <c r="M88" s="206"/>
      <c r="N88" s="199"/>
      <c r="O88" s="37"/>
    </row>
    <row r="89" s="159" customFormat="1" ht="31.5" customHeight="1" spans="1:15">
      <c r="A89" s="205"/>
      <c r="B89" s="205"/>
      <c r="C89" s="201" t="s">
        <v>444</v>
      </c>
      <c r="D89" s="205"/>
      <c r="E89" s="37"/>
      <c r="F89" s="37"/>
      <c r="G89" s="202">
        <v>4</v>
      </c>
      <c r="H89" s="202" t="s">
        <v>408</v>
      </c>
      <c r="I89" s="202" t="s">
        <v>413</v>
      </c>
      <c r="J89" s="202" t="s">
        <v>440</v>
      </c>
      <c r="K89" s="23"/>
      <c r="L89" s="23"/>
      <c r="M89" s="206"/>
      <c r="N89" s="199"/>
      <c r="O89" s="37"/>
    </row>
    <row r="90" s="159" customFormat="1" ht="31.5" customHeight="1" spans="1:15">
      <c r="A90" s="205"/>
      <c r="B90" s="205"/>
      <c r="C90" s="205"/>
      <c r="D90" s="205"/>
      <c r="E90" s="37"/>
      <c r="F90" s="37"/>
      <c r="G90" s="202">
        <v>2</v>
      </c>
      <c r="H90" s="202" t="s">
        <v>408</v>
      </c>
      <c r="I90" s="202" t="s">
        <v>337</v>
      </c>
      <c r="J90" s="202" t="s">
        <v>441</v>
      </c>
      <c r="K90" s="23"/>
      <c r="L90" s="23"/>
      <c r="M90" s="206"/>
      <c r="N90" s="199"/>
      <c r="O90" s="37"/>
    </row>
    <row r="91" s="159" customFormat="1" ht="31.5" customHeight="1" spans="1:15">
      <c r="A91" s="205"/>
      <c r="B91" s="205"/>
      <c r="C91" s="201" t="s">
        <v>444</v>
      </c>
      <c r="D91" s="205"/>
      <c r="E91" s="37"/>
      <c r="F91" s="37"/>
      <c r="G91" s="202">
        <v>4</v>
      </c>
      <c r="H91" s="202" t="s">
        <v>408</v>
      </c>
      <c r="I91" s="202" t="s">
        <v>413</v>
      </c>
      <c r="J91" s="202" t="s">
        <v>442</v>
      </c>
      <c r="K91" s="23"/>
      <c r="L91" s="23"/>
      <c r="M91" s="206"/>
      <c r="N91" s="199"/>
      <c r="O91" s="37"/>
    </row>
    <row r="92" s="159" customFormat="1" ht="31.5" customHeight="1" spans="1:15">
      <c r="A92" s="208"/>
      <c r="B92" s="208"/>
      <c r="C92" s="205"/>
      <c r="D92" s="208"/>
      <c r="E92" s="37"/>
      <c r="F92" s="37"/>
      <c r="G92" s="202">
        <v>2</v>
      </c>
      <c r="H92" s="202" t="s">
        <v>408</v>
      </c>
      <c r="I92" s="202" t="s">
        <v>337</v>
      </c>
      <c r="J92" s="202" t="s">
        <v>443</v>
      </c>
      <c r="K92" s="23"/>
      <c r="L92" s="23"/>
      <c r="M92" s="206"/>
      <c r="N92" s="199"/>
      <c r="O92" s="37"/>
    </row>
    <row r="93" s="165" customFormat="1" ht="28.5" customHeight="1" spans="1:15">
      <c r="A93" s="37" t="s">
        <v>155</v>
      </c>
      <c r="B93" s="57" t="s">
        <v>81</v>
      </c>
      <c r="C93" s="37" t="s">
        <v>445</v>
      </c>
      <c r="D93" s="202" t="s">
        <v>124</v>
      </c>
      <c r="E93" s="210"/>
      <c r="F93" s="210" t="s">
        <v>446</v>
      </c>
      <c r="G93" s="37">
        <v>4</v>
      </c>
      <c r="H93" s="37" t="s">
        <v>152</v>
      </c>
      <c r="I93" s="37" t="s">
        <v>108</v>
      </c>
      <c r="J93" s="210" t="s">
        <v>447</v>
      </c>
      <c r="K93" s="57" t="s">
        <v>111</v>
      </c>
      <c r="L93" s="37"/>
      <c r="M93" s="37"/>
      <c r="N93" s="211" t="s">
        <v>112</v>
      </c>
      <c r="O93" s="37"/>
    </row>
    <row r="94" s="165" customFormat="1" ht="28.5" customHeight="1" spans="1:15">
      <c r="A94" s="37"/>
      <c r="B94" s="57"/>
      <c r="C94" s="37"/>
      <c r="D94" s="202"/>
      <c r="E94" s="210"/>
      <c r="F94" s="210" t="s">
        <v>448</v>
      </c>
      <c r="G94" s="37">
        <v>4</v>
      </c>
      <c r="H94" s="37" t="s">
        <v>152</v>
      </c>
      <c r="I94" s="37" t="s">
        <v>108</v>
      </c>
      <c r="J94" s="210" t="s">
        <v>447</v>
      </c>
      <c r="K94" s="57"/>
      <c r="L94" s="37"/>
      <c r="M94" s="37"/>
      <c r="N94" s="211"/>
      <c r="O94" s="37"/>
    </row>
    <row r="95" ht="31.2" spans="1:15">
      <c r="A95" s="212" t="s">
        <v>155</v>
      </c>
      <c r="B95" s="57" t="s">
        <v>449</v>
      </c>
      <c r="C95" s="212" t="s">
        <v>450</v>
      </c>
      <c r="D95" s="212" t="s">
        <v>451</v>
      </c>
      <c r="E95" s="212" t="s">
        <v>452</v>
      </c>
      <c r="F95" s="213" t="s">
        <v>453</v>
      </c>
      <c r="G95" s="212">
        <v>2</v>
      </c>
      <c r="H95" s="57" t="s">
        <v>107</v>
      </c>
      <c r="I95" s="57" t="s">
        <v>108</v>
      </c>
      <c r="J95" s="214" t="s">
        <v>454</v>
      </c>
      <c r="K95" s="215" t="s">
        <v>124</v>
      </c>
      <c r="L95" s="215"/>
      <c r="M95" s="215"/>
      <c r="N95" s="211" t="s">
        <v>112</v>
      </c>
      <c r="O95" s="212"/>
    </row>
    <row r="96" ht="15.6" spans="1:15">
      <c r="A96" s="212"/>
      <c r="B96" s="57"/>
      <c r="C96" s="212"/>
      <c r="D96" s="212"/>
      <c r="E96" s="212"/>
      <c r="F96" s="216" t="s">
        <v>455</v>
      </c>
      <c r="G96" s="212">
        <v>2</v>
      </c>
      <c r="H96" s="29" t="s">
        <v>107</v>
      </c>
      <c r="I96" s="57" t="s">
        <v>108</v>
      </c>
      <c r="J96" s="217" t="s">
        <v>456</v>
      </c>
      <c r="K96" s="218"/>
      <c r="L96" s="218"/>
      <c r="M96" s="218"/>
      <c r="N96" s="211"/>
      <c r="O96" s="212"/>
    </row>
    <row r="97" ht="27.6" spans="1:15">
      <c r="A97" s="219" t="s">
        <v>155</v>
      </c>
      <c r="B97" s="220" t="s">
        <v>85</v>
      </c>
      <c r="C97" s="219" t="s">
        <v>457</v>
      </c>
      <c r="D97" s="219" t="s">
        <v>109</v>
      </c>
      <c r="E97" s="219" t="s">
        <v>458</v>
      </c>
      <c r="F97" s="221" t="s">
        <v>459</v>
      </c>
      <c r="G97" s="219">
        <v>2</v>
      </c>
      <c r="H97" s="202" t="s">
        <v>107</v>
      </c>
      <c r="I97" s="202" t="s">
        <v>108</v>
      </c>
      <c r="J97" s="222" t="s">
        <v>460</v>
      </c>
      <c r="K97" s="57" t="s">
        <v>111</v>
      </c>
      <c r="L97" s="215"/>
      <c r="M97" s="215"/>
      <c r="N97" s="211" t="s">
        <v>112</v>
      </c>
      <c r="O97" s="212"/>
    </row>
    <row r="98" ht="15.6" spans="1:15">
      <c r="A98" s="219"/>
      <c r="B98" s="220"/>
      <c r="C98" s="219"/>
      <c r="D98" s="219"/>
      <c r="E98" s="219"/>
      <c r="F98" s="223" t="s">
        <v>461</v>
      </c>
      <c r="G98" s="219">
        <v>2</v>
      </c>
      <c r="H98" s="224" t="s">
        <v>107</v>
      </c>
      <c r="I98" s="202" t="s">
        <v>108</v>
      </c>
      <c r="J98" s="222" t="s">
        <v>462</v>
      </c>
      <c r="K98" s="57"/>
      <c r="L98" s="218"/>
      <c r="M98" s="218"/>
      <c r="N98" s="211"/>
      <c r="O98" s="212"/>
    </row>
    <row r="99" ht="17.4" spans="1:15">
      <c r="A99" s="225"/>
    </row>
    <row r="102" spans="1:15">
      <c r="J102" s="226"/>
    </row>
    <row r="103" spans="1:15">
      <c r="J103" s="227"/>
    </row>
    <row r="104" spans="1:15">
      <c r="J104" s="226"/>
    </row>
  </sheetData>
  <mergeCells count="191">
    <mergeCell ref="A1:J1"/>
    <mergeCell ref="K1:M1"/>
    <mergeCell ref="L2:M2"/>
    <mergeCell ref="A2:A4"/>
    <mergeCell ref="A5:A7"/>
    <mergeCell ref="A8:A9"/>
    <mergeCell ref="A10:A11"/>
    <mergeCell ref="A12:A13"/>
    <mergeCell ref="A14:A15"/>
    <mergeCell ref="A16:A17"/>
    <mergeCell ref="A18:A21"/>
    <mergeCell ref="A22:A25"/>
    <mergeCell ref="A26:A28"/>
    <mergeCell ref="A29:A32"/>
    <mergeCell ref="A33:A62"/>
    <mergeCell ref="A63:A92"/>
    <mergeCell ref="A93:A94"/>
    <mergeCell ref="A95:A96"/>
    <mergeCell ref="A97:A98"/>
    <mergeCell ref="B2:B4"/>
    <mergeCell ref="B5:B7"/>
    <mergeCell ref="B8:B9"/>
    <mergeCell ref="B10:B11"/>
    <mergeCell ref="B12:B13"/>
    <mergeCell ref="B14:B15"/>
    <mergeCell ref="B16:B17"/>
    <mergeCell ref="B18:B21"/>
    <mergeCell ref="B22:B25"/>
    <mergeCell ref="B26:B28"/>
    <mergeCell ref="B29:B32"/>
    <mergeCell ref="B33:B62"/>
    <mergeCell ref="B63:B92"/>
    <mergeCell ref="B93:B94"/>
    <mergeCell ref="B95:B96"/>
    <mergeCell ref="B97:B98"/>
    <mergeCell ref="C2:C4"/>
    <mergeCell ref="C5:C7"/>
    <mergeCell ref="C8:C9"/>
    <mergeCell ref="C10:C11"/>
    <mergeCell ref="C12:C13"/>
    <mergeCell ref="C14:C15"/>
    <mergeCell ref="C16:C17"/>
    <mergeCell ref="C18:C21"/>
    <mergeCell ref="C22:C25"/>
    <mergeCell ref="C26:C28"/>
    <mergeCell ref="C29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D2:D4"/>
    <mergeCell ref="D5:D7"/>
    <mergeCell ref="D8:D9"/>
    <mergeCell ref="D10:D11"/>
    <mergeCell ref="D12:D13"/>
    <mergeCell ref="D14:D15"/>
    <mergeCell ref="D16:D17"/>
    <mergeCell ref="D18:D21"/>
    <mergeCell ref="D22:D25"/>
    <mergeCell ref="D26:D28"/>
    <mergeCell ref="D29:D32"/>
    <mergeCell ref="D33:D62"/>
    <mergeCell ref="D63:D92"/>
    <mergeCell ref="D93:D94"/>
    <mergeCell ref="D95:D96"/>
    <mergeCell ref="D97:D98"/>
    <mergeCell ref="E2:E4"/>
    <mergeCell ref="E5:E7"/>
    <mergeCell ref="E10:E11"/>
    <mergeCell ref="E12:E13"/>
    <mergeCell ref="E14:E15"/>
    <mergeCell ref="E18:E21"/>
    <mergeCell ref="E22:E25"/>
    <mergeCell ref="E26:E28"/>
    <mergeCell ref="E29:E32"/>
    <mergeCell ref="E95:E96"/>
    <mergeCell ref="E97:E98"/>
    <mergeCell ref="F2:F4"/>
    <mergeCell ref="F29:F32"/>
    <mergeCell ref="G2:G4"/>
    <mergeCell ref="H2:H4"/>
    <mergeCell ref="H29:H32"/>
    <mergeCell ref="I2:I4"/>
    <mergeCell ref="I29:I32"/>
    <mergeCell ref="J2:J4"/>
    <mergeCell ref="K5:K7"/>
    <mergeCell ref="K8:K9"/>
    <mergeCell ref="K10:K11"/>
    <mergeCell ref="K12:K13"/>
    <mergeCell ref="K14:K15"/>
    <mergeCell ref="K16:K17"/>
    <mergeCell ref="K18:K21"/>
    <mergeCell ref="K22:K25"/>
    <mergeCell ref="K26:K28"/>
    <mergeCell ref="K29:K32"/>
    <mergeCell ref="K33:K62"/>
    <mergeCell ref="K63:K92"/>
    <mergeCell ref="K93:K94"/>
    <mergeCell ref="K95:K96"/>
    <mergeCell ref="K97:K98"/>
    <mergeCell ref="L5:L7"/>
    <mergeCell ref="L8:L9"/>
    <mergeCell ref="L10:L11"/>
    <mergeCell ref="L12:L13"/>
    <mergeCell ref="L14:L15"/>
    <mergeCell ref="L16:L17"/>
    <mergeCell ref="L18:L21"/>
    <mergeCell ref="L22:L25"/>
    <mergeCell ref="L26:L28"/>
    <mergeCell ref="L29:L32"/>
    <mergeCell ref="L33:L62"/>
    <mergeCell ref="L63:L92"/>
    <mergeCell ref="L93:L94"/>
    <mergeCell ref="L95:L96"/>
    <mergeCell ref="L97:L98"/>
    <mergeCell ref="M5:M7"/>
    <mergeCell ref="M8:M9"/>
    <mergeCell ref="M10:M11"/>
    <mergeCell ref="M12:M13"/>
    <mergeCell ref="M14:M15"/>
    <mergeCell ref="M16:M17"/>
    <mergeCell ref="M18:M21"/>
    <mergeCell ref="M22:M25"/>
    <mergeCell ref="M26:M28"/>
    <mergeCell ref="M29:M32"/>
    <mergeCell ref="M33:M62"/>
    <mergeCell ref="M63:M92"/>
    <mergeCell ref="M93:M94"/>
    <mergeCell ref="M95:M96"/>
    <mergeCell ref="M97:M98"/>
    <mergeCell ref="N2:N4"/>
    <mergeCell ref="N5:N7"/>
    <mergeCell ref="N8:N9"/>
    <mergeCell ref="N10:N11"/>
    <mergeCell ref="N12:N13"/>
    <mergeCell ref="N14:N15"/>
    <mergeCell ref="N16:N17"/>
    <mergeCell ref="N18:N21"/>
    <mergeCell ref="N22:N25"/>
    <mergeCell ref="N26:N28"/>
    <mergeCell ref="N29:N32"/>
    <mergeCell ref="N33:N62"/>
    <mergeCell ref="N63:N92"/>
    <mergeCell ref="N93:N94"/>
    <mergeCell ref="N95:N96"/>
    <mergeCell ref="N97:N98"/>
    <mergeCell ref="O2:O4"/>
    <mergeCell ref="O5:O7"/>
    <mergeCell ref="O8:O9"/>
    <mergeCell ref="O10:O11"/>
    <mergeCell ref="O12:O13"/>
    <mergeCell ref="O14:O15"/>
    <mergeCell ref="O16:O17"/>
    <mergeCell ref="O18:O21"/>
    <mergeCell ref="O22:O25"/>
    <mergeCell ref="O26:O28"/>
    <mergeCell ref="O29:O32"/>
    <mergeCell ref="O33:O62"/>
    <mergeCell ref="O63:O92"/>
    <mergeCell ref="O93:O94"/>
    <mergeCell ref="O95:O96"/>
    <mergeCell ref="O97:O98"/>
  </mergeCells>
  <dataValidations count="3">
    <dataValidation type="list" allowBlank="1" showInputMessage="1" showErrorMessage="1" sqref="A16 A18:A20 A22:A24">
      <formula1>"计量采样,计量结算,终端配置参数,终端运行参数,阀门,异常大流量,装反,电源,通信,电子封印,生产,用水分析"</formula1>
    </dataValidation>
    <dataValidation type="list" allowBlank="1" showInputMessage="1" showErrorMessage="1" sqref="A63 A5:A10 A26:A33 A93:A94">
      <formula1>"计量采样,计量结算,终端配置参数,终端运行参数,阀门,异常大流量,装反,电源,NB通信,电子封印,生产,用水分析"</formula1>
    </dataValidation>
    <dataValidation type="list" allowBlank="1" showInputMessage="1" showErrorMessage="1" sqref="H97 H5:H9 H26:H95">
      <formula1>"无符号整型,无符号整型扩大倍数,BCD码整型,ASCII字符串,BCD码扩大倍数,有符号整型,有符号整型扩大倍数,HEX串"</formula1>
    </dataValidation>
  </dataValidations>
  <pageMargins left="0.75" right="0.75" top="1" bottom="1" header="0.511805555555556" footer="0.511805555555556"/>
  <pageSetup paperSize="9" orientation="portrait" horizontalDpi="300"/>
  <headerFooter/>
  <ignoredErrors>
    <ignoredError sqref="A1:O4 A5:B5 D5:O5 A6:O7 A8:B8 D8:O8 A9:O17 A18 C18:O18 A19:O21 A22 C22:O22 A23:O104" listDataValidation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"/>
  <sheetViews>
    <sheetView zoomScale="85" zoomScaleNormal="85" workbookViewId="0">
      <selection activeCell="J5" sqref="J5:J28"/>
    </sheetView>
  </sheetViews>
  <sheetFormatPr defaultColWidth="9" defaultRowHeight="13.8"/>
  <cols>
    <col min="1" max="1" width="9" style="1"/>
    <col min="2" max="2" width="9" style="1" hidden="1" customWidth="1"/>
    <col min="3" max="3" width="17.6481481481481" style="1" customWidth="1"/>
    <col min="4" max="4" width="24.3611111111111" style="1" customWidth="1"/>
    <col min="5" max="6" width="9" style="1"/>
    <col min="7" max="7" width="10.3611111111111" style="1" customWidth="1"/>
    <col min="8" max="8" width="59.8611111111111" style="1" customWidth="1"/>
    <col min="9" max="9" width="25.6388888888889" style="1" customWidth="1"/>
    <col min="10" max="10" width="20.1203703703704" style="1" customWidth="1"/>
    <col min="11" max="12" width="14.3611111111111" style="1" customWidth="1"/>
    <col min="13" max="16384" width="9" style="1"/>
  </cols>
  <sheetData>
    <row r="1" ht="61.5" customHeight="1" spans="1:12">
      <c r="A1" s="141" t="s">
        <v>463</v>
      </c>
      <c r="B1" s="141"/>
      <c r="C1" s="141"/>
      <c r="D1" s="141"/>
      <c r="E1" s="141"/>
      <c r="F1" s="141"/>
      <c r="G1" s="141"/>
      <c r="H1" s="141"/>
      <c r="I1" s="141"/>
      <c r="J1" s="9" t="s">
        <v>88</v>
      </c>
      <c r="K1" s="9"/>
      <c r="L1" s="9"/>
    </row>
    <row r="2" ht="27.6" spans="1:12">
      <c r="A2" s="131" t="s">
        <v>2</v>
      </c>
      <c r="B2" s="131" t="s">
        <v>464</v>
      </c>
      <c r="C2" s="131" t="s">
        <v>465</v>
      </c>
      <c r="D2" s="131" t="s">
        <v>97</v>
      </c>
      <c r="E2" s="131" t="s">
        <v>466</v>
      </c>
      <c r="F2" s="131" t="s">
        <v>467</v>
      </c>
      <c r="G2" s="131" t="s">
        <v>468</v>
      </c>
      <c r="H2" s="131" t="s">
        <v>352</v>
      </c>
      <c r="I2" s="131" t="s">
        <v>354</v>
      </c>
      <c r="J2" s="115" t="s">
        <v>98</v>
      </c>
      <c r="K2" s="116" t="s">
        <v>99</v>
      </c>
      <c r="L2" s="116"/>
    </row>
    <row r="3" spans="1:12">
      <c r="A3" s="131"/>
      <c r="B3" s="131"/>
      <c r="C3" s="131"/>
      <c r="D3" s="131"/>
      <c r="E3" s="131"/>
      <c r="F3" s="131"/>
      <c r="G3" s="131"/>
      <c r="H3" s="131"/>
      <c r="I3" s="131"/>
      <c r="J3" s="115" t="s">
        <v>100</v>
      </c>
      <c r="K3" s="115" t="s">
        <v>100</v>
      </c>
      <c r="L3" s="116" t="s">
        <v>101</v>
      </c>
    </row>
    <row r="4" ht="27.6" spans="1:12">
      <c r="A4" s="131"/>
      <c r="B4" s="131"/>
      <c r="C4" s="131"/>
      <c r="D4" s="131"/>
      <c r="E4" s="131"/>
      <c r="F4" s="131"/>
      <c r="G4" s="131"/>
      <c r="H4" s="131"/>
      <c r="I4" s="131"/>
      <c r="J4" s="115" t="s">
        <v>355</v>
      </c>
      <c r="K4" s="116" t="s">
        <v>469</v>
      </c>
      <c r="L4" s="116" t="s">
        <v>469</v>
      </c>
    </row>
    <row r="5" ht="31.2" spans="1:12">
      <c r="A5" s="38" t="s">
        <v>13</v>
      </c>
      <c r="B5" s="142"/>
      <c r="C5" s="34" t="s">
        <v>470</v>
      </c>
      <c r="D5" s="34" t="s">
        <v>471</v>
      </c>
      <c r="E5" s="143">
        <v>0</v>
      </c>
      <c r="F5" s="144" t="s">
        <v>472</v>
      </c>
      <c r="G5" s="144"/>
      <c r="H5" s="145" t="s">
        <v>473</v>
      </c>
      <c r="I5" s="144"/>
      <c r="J5" s="146" t="s">
        <v>111</v>
      </c>
      <c r="K5" s="146" t="s">
        <v>111</v>
      </c>
      <c r="L5" s="119" t="s">
        <v>111</v>
      </c>
    </row>
    <row r="6" ht="15.6" spans="1:12">
      <c r="A6" s="38"/>
      <c r="B6" s="147"/>
      <c r="C6" s="148"/>
      <c r="D6" s="148"/>
      <c r="E6" s="149"/>
      <c r="F6" s="144" t="s">
        <v>474</v>
      </c>
      <c r="G6" s="148"/>
      <c r="H6" s="145" t="s">
        <v>475</v>
      </c>
      <c r="I6" s="148"/>
      <c r="J6" s="150"/>
      <c r="K6" s="150"/>
      <c r="L6" s="150"/>
    </row>
    <row r="7" ht="15.6" spans="1:12">
      <c r="A7" s="38"/>
      <c r="B7" s="147"/>
      <c r="C7" s="148"/>
      <c r="D7" s="148"/>
      <c r="E7" s="149"/>
      <c r="F7" s="144" t="s">
        <v>476</v>
      </c>
      <c r="G7" s="148"/>
      <c r="H7" s="145" t="s">
        <v>477</v>
      </c>
      <c r="I7" s="148"/>
      <c r="J7" s="150"/>
      <c r="K7" s="150"/>
      <c r="L7" s="150"/>
    </row>
    <row r="8" ht="15.6" spans="1:12">
      <c r="A8" s="38"/>
      <c r="B8" s="147"/>
      <c r="C8" s="148"/>
      <c r="D8" s="148"/>
      <c r="E8" s="149"/>
      <c r="F8" s="144" t="s">
        <v>478</v>
      </c>
      <c r="G8" s="148"/>
      <c r="H8" s="145" t="s">
        <v>479</v>
      </c>
      <c r="I8" s="148"/>
      <c r="J8" s="150"/>
      <c r="K8" s="150"/>
      <c r="L8" s="150"/>
    </row>
    <row r="9" ht="15.6" spans="1:12">
      <c r="A9" s="38"/>
      <c r="B9" s="147"/>
      <c r="C9" s="148"/>
      <c r="D9" s="148"/>
      <c r="E9" s="149"/>
      <c r="F9" s="144" t="s">
        <v>480</v>
      </c>
      <c r="G9" s="148"/>
      <c r="H9" s="145" t="s">
        <v>481</v>
      </c>
      <c r="I9" s="148"/>
      <c r="J9" s="150"/>
      <c r="K9" s="150"/>
      <c r="L9" s="150"/>
    </row>
    <row r="10" ht="15.6" spans="1:12">
      <c r="A10" s="38"/>
      <c r="B10" s="147"/>
      <c r="C10" s="148"/>
      <c r="D10" s="148"/>
      <c r="E10" s="149"/>
      <c r="F10" s="144" t="s">
        <v>482</v>
      </c>
      <c r="G10" s="148"/>
      <c r="H10" s="145" t="s">
        <v>477</v>
      </c>
      <c r="I10" s="148"/>
      <c r="J10" s="150"/>
      <c r="K10" s="150"/>
      <c r="L10" s="150"/>
    </row>
    <row r="11" ht="15.6" spans="1:12">
      <c r="A11" s="38"/>
      <c r="B11" s="147"/>
      <c r="C11" s="148"/>
      <c r="D11" s="148"/>
      <c r="E11" s="149"/>
      <c r="F11" s="144" t="s">
        <v>483</v>
      </c>
      <c r="G11" s="148"/>
      <c r="H11" s="145" t="s">
        <v>477</v>
      </c>
      <c r="I11" s="148"/>
      <c r="J11" s="150"/>
      <c r="K11" s="150"/>
      <c r="L11" s="150"/>
    </row>
    <row r="12" ht="15.6" spans="1:12">
      <c r="A12" s="38"/>
      <c r="B12" s="147"/>
      <c r="C12" s="148"/>
      <c r="D12" s="148"/>
      <c r="E12" s="144"/>
      <c r="F12" s="144" t="s">
        <v>484</v>
      </c>
      <c r="G12" s="148"/>
      <c r="H12" s="145" t="s">
        <v>485</v>
      </c>
      <c r="I12" s="148"/>
      <c r="J12" s="150"/>
      <c r="K12" s="150"/>
      <c r="L12" s="150"/>
    </row>
    <row r="13" ht="15.6" spans="1:12">
      <c r="A13" s="38"/>
      <c r="B13" s="147"/>
      <c r="C13" s="148"/>
      <c r="D13" s="148"/>
      <c r="E13" s="143">
        <v>1</v>
      </c>
      <c r="F13" s="148" t="s">
        <v>472</v>
      </c>
      <c r="G13" s="148"/>
      <c r="H13" s="145" t="s">
        <v>486</v>
      </c>
      <c r="I13" s="151"/>
      <c r="J13" s="150"/>
      <c r="K13" s="150"/>
      <c r="L13" s="150"/>
    </row>
    <row r="14" ht="15.6" spans="1:12">
      <c r="A14" s="38"/>
      <c r="B14" s="147"/>
      <c r="C14" s="148"/>
      <c r="D14" s="148"/>
      <c r="E14" s="149"/>
      <c r="F14" s="148" t="s">
        <v>474</v>
      </c>
      <c r="G14" s="148"/>
      <c r="H14" s="145" t="s">
        <v>487</v>
      </c>
      <c r="I14" s="151"/>
      <c r="J14" s="150"/>
      <c r="K14" s="150"/>
      <c r="L14" s="150"/>
    </row>
    <row r="15" ht="15.6" spans="1:12">
      <c r="A15" s="38"/>
      <c r="B15" s="147"/>
      <c r="C15" s="148"/>
      <c r="D15" s="148"/>
      <c r="E15" s="149"/>
      <c r="F15" s="148" t="s">
        <v>476</v>
      </c>
      <c r="G15" s="148"/>
      <c r="H15" s="152" t="s">
        <v>488</v>
      </c>
      <c r="I15" s="151"/>
      <c r="J15" s="150"/>
      <c r="K15" s="150"/>
      <c r="L15" s="150"/>
    </row>
    <row r="16" ht="15.6" spans="1:12">
      <c r="A16" s="38"/>
      <c r="B16" s="147"/>
      <c r="C16" s="148"/>
      <c r="D16" s="148"/>
      <c r="E16" s="149"/>
      <c r="F16" s="148" t="s">
        <v>478</v>
      </c>
      <c r="G16" s="148"/>
      <c r="H16" s="145" t="s">
        <v>489</v>
      </c>
      <c r="I16" s="148"/>
      <c r="J16" s="150"/>
      <c r="K16" s="150"/>
      <c r="L16" s="150"/>
    </row>
    <row r="17" ht="15.6" spans="1:12">
      <c r="A17" s="38"/>
      <c r="B17" s="147"/>
      <c r="C17" s="148"/>
      <c r="D17" s="148"/>
      <c r="E17" s="149"/>
      <c r="F17" s="148" t="s">
        <v>480</v>
      </c>
      <c r="G17" s="148"/>
      <c r="H17" s="145" t="s">
        <v>490</v>
      </c>
      <c r="I17" s="148"/>
      <c r="J17" s="150"/>
      <c r="K17" s="150"/>
      <c r="L17" s="150"/>
    </row>
    <row r="18" ht="15.6" spans="1:12">
      <c r="A18" s="38"/>
      <c r="B18" s="147"/>
      <c r="C18" s="148"/>
      <c r="D18" s="148"/>
      <c r="E18" s="149"/>
      <c r="F18" s="148" t="s">
        <v>482</v>
      </c>
      <c r="G18" s="148"/>
      <c r="H18" s="145" t="s">
        <v>491</v>
      </c>
      <c r="I18" s="148"/>
      <c r="J18" s="150"/>
      <c r="K18" s="150"/>
      <c r="L18" s="150"/>
    </row>
    <row r="19" ht="15.6" spans="1:12">
      <c r="A19" s="38"/>
      <c r="B19" s="147"/>
      <c r="C19" s="148"/>
      <c r="D19" s="148"/>
      <c r="E19" s="149"/>
      <c r="F19" s="148" t="s">
        <v>483</v>
      </c>
      <c r="G19" s="153"/>
      <c r="H19" s="145" t="s">
        <v>492</v>
      </c>
      <c r="I19" s="148"/>
      <c r="J19" s="150"/>
      <c r="K19" s="150"/>
      <c r="L19" s="150"/>
    </row>
    <row r="20" ht="15.6" spans="1:12">
      <c r="A20" s="38"/>
      <c r="B20" s="147"/>
      <c r="C20" s="148"/>
      <c r="D20" s="148"/>
      <c r="E20" s="144"/>
      <c r="F20" s="148" t="s">
        <v>484</v>
      </c>
      <c r="G20" s="148"/>
      <c r="H20" s="145" t="s">
        <v>477</v>
      </c>
      <c r="I20" s="37"/>
      <c r="J20" s="150"/>
      <c r="K20" s="150"/>
      <c r="L20" s="150"/>
    </row>
    <row r="21" ht="15.6" spans="1:12">
      <c r="A21" s="38"/>
      <c r="B21" s="154"/>
      <c r="C21" s="151"/>
      <c r="D21" s="151"/>
      <c r="E21" s="143">
        <v>2</v>
      </c>
      <c r="F21" s="148" t="s">
        <v>472</v>
      </c>
      <c r="G21" s="148"/>
      <c r="H21" s="155" t="s">
        <v>493</v>
      </c>
      <c r="I21" s="151"/>
      <c r="J21" s="150"/>
      <c r="K21" s="150"/>
      <c r="L21" s="150"/>
    </row>
    <row r="22" ht="15.6" spans="1:12">
      <c r="A22" s="38"/>
      <c r="B22" s="154"/>
      <c r="C22" s="151"/>
      <c r="D22" s="151"/>
      <c r="E22" s="149"/>
      <c r="F22" s="148" t="s">
        <v>474</v>
      </c>
      <c r="G22" s="148"/>
      <c r="H22" s="156" t="s">
        <v>494</v>
      </c>
      <c r="I22" s="151"/>
      <c r="J22" s="150"/>
      <c r="K22" s="150"/>
      <c r="L22" s="150"/>
    </row>
    <row r="23" ht="15.6" spans="1:12">
      <c r="A23" s="38"/>
      <c r="B23" s="154"/>
      <c r="C23" s="151"/>
      <c r="D23" s="151"/>
      <c r="E23" s="149"/>
      <c r="F23" s="148" t="s">
        <v>476</v>
      </c>
      <c r="G23" s="148"/>
      <c r="H23" s="156" t="s">
        <v>495</v>
      </c>
      <c r="I23" s="151"/>
      <c r="J23" s="150"/>
      <c r="K23" s="150"/>
      <c r="L23" s="150"/>
    </row>
    <row r="24" ht="15.6" spans="1:12">
      <c r="A24" s="38"/>
      <c r="B24" s="154"/>
      <c r="C24" s="151"/>
      <c r="D24" s="151"/>
      <c r="E24" s="149"/>
      <c r="F24" s="148" t="s">
        <v>478</v>
      </c>
      <c r="G24" s="148"/>
      <c r="H24" s="157" t="s">
        <v>496</v>
      </c>
      <c r="I24" s="148"/>
      <c r="J24" s="150"/>
      <c r="K24" s="150"/>
      <c r="L24" s="150"/>
    </row>
    <row r="25" ht="15.6" spans="1:12">
      <c r="A25" s="38"/>
      <c r="B25" s="154"/>
      <c r="C25" s="151"/>
      <c r="D25" s="151"/>
      <c r="E25" s="149"/>
      <c r="F25" s="148" t="s">
        <v>480</v>
      </c>
      <c r="G25" s="148"/>
      <c r="H25" s="145" t="s">
        <v>477</v>
      </c>
      <c r="I25" s="148"/>
      <c r="J25" s="150"/>
      <c r="K25" s="150"/>
      <c r="L25" s="150"/>
    </row>
    <row r="26" ht="15.6" spans="1:12">
      <c r="A26" s="38"/>
      <c r="B26" s="154"/>
      <c r="C26" s="151"/>
      <c r="D26" s="151"/>
      <c r="E26" s="149"/>
      <c r="F26" s="148" t="s">
        <v>482</v>
      </c>
      <c r="G26" s="148"/>
      <c r="H26" s="145" t="s">
        <v>477</v>
      </c>
      <c r="I26" s="148"/>
      <c r="J26" s="150"/>
      <c r="K26" s="150"/>
      <c r="L26" s="150"/>
    </row>
    <row r="27" ht="15.6" spans="1:12">
      <c r="A27" s="38"/>
      <c r="B27" s="154"/>
      <c r="C27" s="151"/>
      <c r="D27" s="151"/>
      <c r="E27" s="149"/>
      <c r="F27" s="148" t="s">
        <v>483</v>
      </c>
      <c r="G27" s="153"/>
      <c r="H27" s="145" t="s">
        <v>477</v>
      </c>
      <c r="I27" s="148"/>
      <c r="J27" s="150"/>
      <c r="K27" s="150"/>
      <c r="L27" s="150"/>
    </row>
    <row r="28" ht="15.6" spans="1:12">
      <c r="A28" s="38"/>
      <c r="B28" s="154"/>
      <c r="C28" s="151"/>
      <c r="D28" s="151"/>
      <c r="E28" s="144"/>
      <c r="F28" s="148" t="s">
        <v>484</v>
      </c>
      <c r="G28" s="148"/>
      <c r="H28" s="145" t="s">
        <v>477</v>
      </c>
      <c r="I28" s="37"/>
      <c r="J28" s="158"/>
      <c r="K28" s="158"/>
      <c r="L28" s="158"/>
    </row>
  </sheetData>
  <mergeCells count="19">
    <mergeCell ref="A1:I1"/>
    <mergeCell ref="J1:L1"/>
    <mergeCell ref="K2:L2"/>
    <mergeCell ref="A2:A4"/>
    <mergeCell ref="A5:A28"/>
    <mergeCell ref="B2:B4"/>
    <mergeCell ref="C2:C4"/>
    <mergeCell ref="D2:D4"/>
    <mergeCell ref="E2:E4"/>
    <mergeCell ref="E5:E12"/>
    <mergeCell ref="E13:E20"/>
    <mergeCell ref="E21:E28"/>
    <mergeCell ref="F2:F4"/>
    <mergeCell ref="G2:G4"/>
    <mergeCell ref="H2:H4"/>
    <mergeCell ref="I2:I4"/>
    <mergeCell ref="J5:J28"/>
    <mergeCell ref="K5:K28"/>
    <mergeCell ref="L5:L28"/>
  </mergeCells>
  <pageMargins left="0.75" right="0.75" top="1" bottom="1" header="0.511805555555556" footer="0.511805555555556"/>
  <pageSetup paperSize="9" orientation="portrait" horizont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F5" sqref="F5:F6"/>
    </sheetView>
  </sheetViews>
  <sheetFormatPr defaultColWidth="9" defaultRowHeight="13.8" outlineLevelCol="7"/>
  <cols>
    <col min="1" max="1" width="11.0925925925926" style="1" customWidth="1"/>
    <col min="2" max="2" width="30.2685185185185" style="1" customWidth="1"/>
    <col min="3" max="3" width="61" style="1" customWidth="1"/>
    <col min="4" max="4" width="9.26851851851852" style="1" customWidth="1"/>
    <col min="5" max="5" width="9.73148148148148" style="1" customWidth="1"/>
    <col min="6" max="8" width="12.4537037037037" style="1" customWidth="1"/>
    <col min="9" max="16384" width="9" style="1"/>
  </cols>
  <sheetData>
    <row r="1" ht="30" customHeight="1" spans="1:8">
      <c r="A1" s="130" t="s">
        <v>497</v>
      </c>
      <c r="B1" s="130"/>
      <c r="C1" s="130"/>
      <c r="D1" s="130"/>
      <c r="E1" s="130"/>
      <c r="F1" s="9" t="s">
        <v>88</v>
      </c>
      <c r="G1" s="9"/>
      <c r="H1" s="9"/>
    </row>
    <row r="2" ht="14.25" customHeight="1" spans="1:8">
      <c r="A2" s="10" t="s">
        <v>2</v>
      </c>
      <c r="B2" s="10" t="s">
        <v>465</v>
      </c>
      <c r="C2" s="10" t="s">
        <v>97</v>
      </c>
      <c r="D2" s="10" t="s">
        <v>498</v>
      </c>
      <c r="E2" s="131" t="s">
        <v>499</v>
      </c>
      <c r="F2" s="115" t="s">
        <v>98</v>
      </c>
      <c r="G2" s="116" t="s">
        <v>99</v>
      </c>
      <c r="H2" s="116"/>
    </row>
    <row r="3" spans="1:8">
      <c r="A3" s="10"/>
      <c r="B3" s="10"/>
      <c r="C3" s="10"/>
      <c r="D3" s="10"/>
      <c r="E3" s="131"/>
      <c r="F3" s="115" t="s">
        <v>100</v>
      </c>
      <c r="G3" s="115" t="s">
        <v>100</v>
      </c>
      <c r="H3" s="116" t="s">
        <v>101</v>
      </c>
    </row>
    <row r="4" ht="41.4" spans="1:8">
      <c r="A4" s="10"/>
      <c r="B4" s="10"/>
      <c r="C4" s="10"/>
      <c r="D4" s="10"/>
      <c r="E4" s="131"/>
      <c r="F4" s="115" t="s">
        <v>355</v>
      </c>
      <c r="G4" s="116" t="s">
        <v>469</v>
      </c>
      <c r="H4" s="116" t="s">
        <v>469</v>
      </c>
    </row>
    <row r="5" s="129" customFormat="1" ht="31.2" spans="1:8">
      <c r="A5" s="132" t="s">
        <v>500</v>
      </c>
      <c r="B5" s="133" t="s">
        <v>501</v>
      </c>
      <c r="C5" s="134" t="s">
        <v>502</v>
      </c>
      <c r="D5" s="98" t="s">
        <v>105</v>
      </c>
      <c r="E5" s="132" t="s">
        <v>503</v>
      </c>
      <c r="F5" s="135"/>
      <c r="G5" s="135"/>
      <c r="H5" s="135"/>
    </row>
    <row r="6" s="129" customFormat="1" ht="31.2" spans="1:8">
      <c r="A6" s="132" t="s">
        <v>504</v>
      </c>
      <c r="B6" s="133" t="s">
        <v>505</v>
      </c>
      <c r="C6" s="134" t="s">
        <v>502</v>
      </c>
      <c r="D6" s="98" t="s">
        <v>114</v>
      </c>
      <c r="E6" s="132" t="s">
        <v>503</v>
      </c>
      <c r="F6" s="136"/>
      <c r="G6" s="136"/>
      <c r="H6" s="136"/>
    </row>
    <row r="7" ht="31.2" spans="1:8">
      <c r="A7" s="57" t="s">
        <v>506</v>
      </c>
      <c r="B7" s="37" t="s">
        <v>507</v>
      </c>
      <c r="C7" s="78" t="s">
        <v>508</v>
      </c>
      <c r="D7" s="37" t="s">
        <v>105</v>
      </c>
      <c r="E7" s="137">
        <v>31</v>
      </c>
      <c r="F7" s="138"/>
      <c r="G7" s="139"/>
      <c r="H7" s="139"/>
    </row>
    <row r="8" ht="31.2" spans="1:8">
      <c r="A8" s="57" t="s">
        <v>509</v>
      </c>
      <c r="B8" s="37" t="s">
        <v>510</v>
      </c>
      <c r="C8" s="78" t="s">
        <v>511</v>
      </c>
      <c r="D8" s="37" t="s">
        <v>114</v>
      </c>
      <c r="E8" s="137">
        <v>31</v>
      </c>
      <c r="F8" s="138"/>
      <c r="G8" s="139"/>
      <c r="H8" s="139"/>
    </row>
    <row r="9" ht="31.2" spans="1:8">
      <c r="A9" s="57" t="s">
        <v>512</v>
      </c>
      <c r="B9" s="37" t="s">
        <v>513</v>
      </c>
      <c r="C9" s="78" t="s">
        <v>514</v>
      </c>
      <c r="D9" s="37" t="s">
        <v>105</v>
      </c>
      <c r="E9" s="137">
        <v>12</v>
      </c>
      <c r="F9" s="138"/>
      <c r="G9" s="139"/>
      <c r="H9" s="139"/>
    </row>
    <row r="10" ht="31.2" spans="1:8">
      <c r="A10" s="57" t="s">
        <v>515</v>
      </c>
      <c r="B10" s="37" t="s">
        <v>516</v>
      </c>
      <c r="C10" s="78" t="s">
        <v>517</v>
      </c>
      <c r="D10" s="37" t="s">
        <v>114</v>
      </c>
      <c r="E10" s="137">
        <v>12</v>
      </c>
      <c r="F10" s="138"/>
      <c r="G10" s="139"/>
      <c r="H10" s="139"/>
    </row>
    <row r="11" spans="1:8">
      <c r="B11" s="3"/>
    </row>
    <row r="14" spans="1:8">
      <c r="A14" s="3"/>
    </row>
    <row r="15" spans="1:8">
      <c r="A15" s="140"/>
    </row>
  </sheetData>
  <mergeCells count="11">
    <mergeCell ref="A1:E1"/>
    <mergeCell ref="F1:H1"/>
    <mergeCell ref="G2:H2"/>
    <mergeCell ref="A2:A4"/>
    <mergeCell ref="B2:B4"/>
    <mergeCell ref="C2:C4"/>
    <mergeCell ref="D2:D4"/>
    <mergeCell ref="E2:E4"/>
    <mergeCell ref="F5:F6"/>
    <mergeCell ref="G5:G6"/>
    <mergeCell ref="H5:H6"/>
  </mergeCells>
  <pageMargins left="0.75" right="0.75" top="1" bottom="1" header="0.511805555555556" footer="0.511805555555556"/>
  <pageSetup paperSize="9" orientation="portrait" horizont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tabSelected="1" zoomScale="70" zoomScaleNormal="70" workbookViewId="0">
      <pane ySplit="4" topLeftCell="A6" activePane="bottomLeft" state="frozen"/>
      <selection/>
      <selection pane="bottomLeft" activeCell="E5" sqref="E5"/>
    </sheetView>
  </sheetViews>
  <sheetFormatPr defaultColWidth="9" defaultRowHeight="14.4"/>
  <cols>
    <col min="1" max="1" width="10.7314814814815" style="111" customWidth="1"/>
    <col min="2" max="2" width="10.0925925925926" style="111" customWidth="1"/>
    <col min="3" max="3" width="13.3611111111111" style="111" customWidth="1"/>
    <col min="4" max="4" width="14.1666666666667" style="111" customWidth="1"/>
    <col min="5" max="5" width="18.4537037037037" style="111" customWidth="1"/>
    <col min="6" max="6" width="16.0925925925926" style="111" customWidth="1"/>
    <col min="7" max="7" width="6.63888888888889" style="111" customWidth="1"/>
    <col min="8" max="8" width="17.0925925925926" style="112" customWidth="1"/>
    <col min="9" max="9" width="10" style="112" customWidth="1"/>
    <col min="10" max="10" width="62.3611111111111" style="112" customWidth="1"/>
    <col min="11" max="11" width="20.787037037037" style="111" customWidth="1"/>
    <col min="12" max="13" width="18.6388888888889" style="111" customWidth="1"/>
    <col min="14" max="16384" width="9" style="111"/>
  </cols>
  <sheetData>
    <row r="1" ht="70.5" customHeight="1" spans="1:13">
      <c r="A1" s="113" t="s">
        <v>518</v>
      </c>
      <c r="B1" s="113"/>
      <c r="C1" s="113"/>
      <c r="D1" s="113"/>
      <c r="E1" s="113"/>
      <c r="F1" s="113"/>
      <c r="G1" s="113"/>
      <c r="H1" s="113"/>
      <c r="I1" s="113"/>
      <c r="J1" s="113"/>
      <c r="K1" s="114" t="s">
        <v>88</v>
      </c>
      <c r="L1" s="114"/>
      <c r="M1" s="114"/>
    </row>
    <row r="2" ht="18" customHeight="1" spans="1:13">
      <c r="A2" s="13" t="s">
        <v>90</v>
      </c>
      <c r="B2" s="13" t="s">
        <v>2</v>
      </c>
      <c r="C2" s="13" t="s">
        <v>465</v>
      </c>
      <c r="D2" s="13" t="s">
        <v>95</v>
      </c>
      <c r="E2" s="13" t="s">
        <v>97</v>
      </c>
      <c r="F2" s="13" t="s">
        <v>352</v>
      </c>
      <c r="G2" s="13" t="s">
        <v>353</v>
      </c>
      <c r="H2" s="13" t="s">
        <v>93</v>
      </c>
      <c r="I2" s="13" t="s">
        <v>94</v>
      </c>
      <c r="J2" s="13" t="s">
        <v>354</v>
      </c>
      <c r="K2" s="115" t="s">
        <v>98</v>
      </c>
      <c r="L2" s="116" t="s">
        <v>99</v>
      </c>
      <c r="M2" s="116"/>
    </row>
    <row r="3" spans="1:13">
      <c r="A3" s="13"/>
      <c r="B3" s="13"/>
      <c r="C3" s="13"/>
      <c r="D3" s="13"/>
      <c r="E3" s="13"/>
      <c r="F3" s="13"/>
      <c r="G3" s="13"/>
      <c r="H3" s="13"/>
      <c r="I3" s="13"/>
      <c r="J3" s="13"/>
      <c r="K3" s="115" t="s">
        <v>100</v>
      </c>
      <c r="L3" s="115" t="s">
        <v>100</v>
      </c>
      <c r="M3" s="116" t="s">
        <v>101</v>
      </c>
    </row>
    <row r="4" s="110" customFormat="1" ht="39" customHeight="1" spans="1:13">
      <c r="A4" s="13"/>
      <c r="B4" s="13"/>
      <c r="C4" s="13"/>
      <c r="D4" s="13"/>
      <c r="E4" s="13"/>
      <c r="F4" s="13"/>
      <c r="G4" s="13"/>
      <c r="H4" s="13"/>
      <c r="I4" s="13"/>
      <c r="J4" s="13"/>
      <c r="K4" s="115" t="s">
        <v>355</v>
      </c>
      <c r="L4" s="116" t="s">
        <v>469</v>
      </c>
      <c r="M4" s="116" t="s">
        <v>469</v>
      </c>
    </row>
    <row r="5" ht="215.25" customHeight="1" spans="1:13">
      <c r="A5" s="117" t="s">
        <v>519</v>
      </c>
      <c r="B5" s="30">
        <v>4304</v>
      </c>
      <c r="C5" s="30" t="s">
        <v>520</v>
      </c>
      <c r="D5" s="117" t="s">
        <v>124</v>
      </c>
      <c r="E5" s="117"/>
      <c r="F5" s="117"/>
      <c r="G5" s="117">
        <v>4</v>
      </c>
      <c r="H5" s="37" t="s">
        <v>107</v>
      </c>
      <c r="I5" s="37" t="s">
        <v>108</v>
      </c>
      <c r="J5" s="118" t="s">
        <v>521</v>
      </c>
      <c r="K5" s="117"/>
      <c r="L5" s="117" t="s">
        <v>111</v>
      </c>
      <c r="M5" s="117" t="s">
        <v>111</v>
      </c>
    </row>
    <row r="6" ht="28.5" customHeight="1" spans="1:13">
      <c r="A6" s="119" t="s">
        <v>519</v>
      </c>
      <c r="B6" s="120">
        <v>4305</v>
      </c>
      <c r="C6" s="120" t="s">
        <v>522</v>
      </c>
      <c r="D6" s="120" t="s">
        <v>109</v>
      </c>
      <c r="E6" s="120" t="s">
        <v>523</v>
      </c>
      <c r="F6" s="30"/>
      <c r="G6" s="30">
        <v>4</v>
      </c>
      <c r="H6" s="30" t="s">
        <v>119</v>
      </c>
      <c r="I6" s="30" t="s">
        <v>108</v>
      </c>
      <c r="J6" s="47" t="s">
        <v>524</v>
      </c>
      <c r="K6" s="120"/>
      <c r="L6" s="120" t="s">
        <v>111</v>
      </c>
      <c r="M6" s="120" t="s">
        <v>111</v>
      </c>
    </row>
    <row r="7" ht="28.5" customHeight="1" spans="1:13">
      <c r="A7" s="121"/>
      <c r="B7" s="122"/>
      <c r="C7" s="122"/>
      <c r="D7" s="122"/>
      <c r="E7" s="122"/>
      <c r="F7" s="30"/>
      <c r="G7" s="30">
        <v>4</v>
      </c>
      <c r="H7" s="30" t="s">
        <v>107</v>
      </c>
      <c r="I7" s="30" t="s">
        <v>108</v>
      </c>
      <c r="J7" s="47" t="s">
        <v>525</v>
      </c>
      <c r="K7" s="122"/>
      <c r="L7" s="122"/>
      <c r="M7" s="122"/>
    </row>
    <row r="8" ht="28.5" customHeight="1" spans="1:13">
      <c r="A8" s="123"/>
      <c r="B8" s="24"/>
      <c r="C8" s="24"/>
      <c r="D8" s="24"/>
      <c r="E8" s="24"/>
      <c r="F8" s="30"/>
      <c r="G8" s="30">
        <v>4</v>
      </c>
      <c r="H8" s="30" t="s">
        <v>107</v>
      </c>
      <c r="I8" s="30" t="s">
        <v>108</v>
      </c>
      <c r="J8" s="47" t="s">
        <v>526</v>
      </c>
      <c r="K8" s="24"/>
      <c r="L8" s="24"/>
      <c r="M8" s="24"/>
    </row>
    <row r="9" ht="39.75" customHeight="1" spans="1:13">
      <c r="A9" s="119" t="s">
        <v>519</v>
      </c>
      <c r="B9" s="120">
        <v>4306</v>
      </c>
      <c r="C9" s="120" t="s">
        <v>527</v>
      </c>
      <c r="D9" s="120" t="s">
        <v>124</v>
      </c>
      <c r="E9" s="120" t="s">
        <v>528</v>
      </c>
      <c r="F9" s="30"/>
      <c r="G9" s="30">
        <v>4</v>
      </c>
      <c r="H9" s="30" t="s">
        <v>107</v>
      </c>
      <c r="I9" s="30" t="s">
        <v>108</v>
      </c>
      <c r="J9" s="47" t="s">
        <v>529</v>
      </c>
      <c r="K9" s="120"/>
      <c r="L9" s="120" t="s">
        <v>111</v>
      </c>
      <c r="M9" s="120" t="s">
        <v>111</v>
      </c>
    </row>
    <row r="10" ht="28.5" customHeight="1" spans="1:13">
      <c r="A10" s="123"/>
      <c r="B10" s="24"/>
      <c r="C10" s="24"/>
      <c r="D10" s="24"/>
      <c r="E10" s="24"/>
      <c r="F10" s="30"/>
      <c r="G10" s="30">
        <v>4</v>
      </c>
      <c r="H10" s="30" t="s">
        <v>107</v>
      </c>
      <c r="I10" s="30" t="s">
        <v>108</v>
      </c>
      <c r="J10" s="47" t="s">
        <v>530</v>
      </c>
      <c r="K10" s="24"/>
      <c r="L10" s="24"/>
      <c r="M10" s="24"/>
    </row>
    <row r="11" ht="28.5" customHeight="1" spans="1:13">
      <c r="A11" s="119" t="s">
        <v>519</v>
      </c>
      <c r="B11" s="120">
        <v>4307</v>
      </c>
      <c r="C11" s="120" t="s">
        <v>531</v>
      </c>
      <c r="D11" s="120" t="s">
        <v>158</v>
      </c>
      <c r="E11" s="120" t="s">
        <v>532</v>
      </c>
      <c r="F11" s="30"/>
      <c r="G11" s="124">
        <v>4</v>
      </c>
      <c r="H11" s="30" t="s">
        <v>533</v>
      </c>
      <c r="I11" s="30" t="s">
        <v>108</v>
      </c>
      <c r="J11" s="125" t="s">
        <v>534</v>
      </c>
      <c r="K11" s="120"/>
      <c r="L11" s="120" t="s">
        <v>111</v>
      </c>
      <c r="M11" s="120" t="s">
        <v>111</v>
      </c>
    </row>
    <row r="12" ht="28.5" customHeight="1" spans="1:13">
      <c r="A12" s="121"/>
      <c r="B12" s="122"/>
      <c r="C12" s="122"/>
      <c r="D12" s="122"/>
      <c r="E12" s="122"/>
      <c r="F12" s="30"/>
      <c r="G12" s="124">
        <v>4</v>
      </c>
      <c r="H12" s="30" t="s">
        <v>533</v>
      </c>
      <c r="I12" s="30" t="s">
        <v>108</v>
      </c>
      <c r="J12" s="125" t="s">
        <v>535</v>
      </c>
      <c r="K12" s="122"/>
      <c r="L12" s="122"/>
      <c r="M12" s="122"/>
    </row>
    <row r="13" ht="26.25" customHeight="1" spans="1:13">
      <c r="A13" s="121"/>
      <c r="B13" s="122"/>
      <c r="C13" s="122"/>
      <c r="D13" s="122"/>
      <c r="E13" s="122"/>
      <c r="F13" s="30"/>
      <c r="G13" s="126" t="s">
        <v>536</v>
      </c>
      <c r="H13" s="30" t="s">
        <v>533</v>
      </c>
      <c r="I13" s="30" t="s">
        <v>108</v>
      </c>
      <c r="J13" s="125" t="s">
        <v>537</v>
      </c>
      <c r="K13" s="122"/>
      <c r="L13" s="122"/>
      <c r="M13" s="122"/>
    </row>
    <row r="14" ht="21" customHeight="1" spans="1:13">
      <c r="A14" s="123"/>
      <c r="B14" s="24"/>
      <c r="C14" s="24"/>
      <c r="D14" s="24"/>
      <c r="E14" s="24"/>
      <c r="F14" s="30"/>
      <c r="G14" s="126">
        <v>2</v>
      </c>
      <c r="H14" s="30" t="s">
        <v>107</v>
      </c>
      <c r="I14" s="30" t="s">
        <v>108</v>
      </c>
      <c r="J14" s="125" t="s">
        <v>538</v>
      </c>
      <c r="K14" s="24"/>
      <c r="L14" s="24"/>
      <c r="M14" s="24"/>
    </row>
    <row r="15" ht="28.5" customHeight="1" spans="1:13">
      <c r="A15" s="119" t="s">
        <v>519</v>
      </c>
      <c r="B15" s="120" t="s">
        <v>539</v>
      </c>
      <c r="C15" s="120" t="s">
        <v>540</v>
      </c>
      <c r="D15" s="120" t="s">
        <v>158</v>
      </c>
      <c r="E15" s="120" t="s">
        <v>541</v>
      </c>
      <c r="F15" s="30"/>
      <c r="G15" s="30">
        <v>1</v>
      </c>
      <c r="H15" s="30" t="s">
        <v>107</v>
      </c>
      <c r="I15" s="30" t="s">
        <v>108</v>
      </c>
      <c r="J15" s="47" t="s">
        <v>542</v>
      </c>
      <c r="K15" s="120"/>
      <c r="L15" s="120" t="s">
        <v>111</v>
      </c>
      <c r="M15" s="120" t="s">
        <v>111</v>
      </c>
    </row>
    <row r="16" ht="18.75" customHeight="1" spans="1:13">
      <c r="A16" s="121"/>
      <c r="B16" s="122"/>
      <c r="C16" s="122"/>
      <c r="D16" s="122"/>
      <c r="E16" s="122"/>
      <c r="F16" s="30"/>
      <c r="G16" s="30">
        <v>4</v>
      </c>
      <c r="H16" s="30" t="s">
        <v>119</v>
      </c>
      <c r="I16" s="30" t="s">
        <v>108</v>
      </c>
      <c r="J16" s="127" t="s">
        <v>543</v>
      </c>
      <c r="K16" s="122"/>
      <c r="L16" s="122"/>
      <c r="M16" s="122"/>
    </row>
    <row r="17" ht="21.75" customHeight="1" spans="1:13">
      <c r="A17" s="123"/>
      <c r="B17" s="24"/>
      <c r="C17" s="24"/>
      <c r="D17" s="24"/>
      <c r="E17" s="24"/>
      <c r="F17" s="30"/>
      <c r="G17" s="30">
        <v>4</v>
      </c>
      <c r="H17" s="30" t="s">
        <v>119</v>
      </c>
      <c r="I17" s="30" t="s">
        <v>108</v>
      </c>
      <c r="J17" s="127" t="s">
        <v>544</v>
      </c>
      <c r="K17" s="24"/>
      <c r="L17" s="24"/>
      <c r="M17" s="24"/>
    </row>
    <row r="18" ht="46.8" spans="1:13">
      <c r="A18" s="128" t="s">
        <v>519</v>
      </c>
      <c r="B18" s="30" t="s">
        <v>545</v>
      </c>
      <c r="C18" s="30" t="s">
        <v>546</v>
      </c>
      <c r="D18" s="30" t="s">
        <v>158</v>
      </c>
      <c r="E18" s="30" t="s">
        <v>547</v>
      </c>
      <c r="F18" s="30"/>
      <c r="G18" s="30">
        <v>1</v>
      </c>
      <c r="H18" s="30" t="s">
        <v>107</v>
      </c>
      <c r="I18" s="30" t="s">
        <v>108</v>
      </c>
      <c r="J18" s="47" t="s">
        <v>548</v>
      </c>
      <c r="K18" s="30"/>
      <c r="L18" s="30" t="s">
        <v>111</v>
      </c>
      <c r="M18" s="30" t="s">
        <v>111</v>
      </c>
    </row>
    <row r="19" ht="32.25" customHeight="1" spans="1:13">
      <c r="A19" s="128" t="s">
        <v>519</v>
      </c>
      <c r="B19" s="30" t="s">
        <v>549</v>
      </c>
      <c r="C19" s="30" t="s">
        <v>550</v>
      </c>
      <c r="D19" s="30" t="s">
        <v>158</v>
      </c>
      <c r="E19" s="30" t="s">
        <v>551</v>
      </c>
      <c r="F19" s="30"/>
      <c r="G19" s="30">
        <v>1</v>
      </c>
      <c r="H19" s="30" t="s">
        <v>107</v>
      </c>
      <c r="I19" s="30" t="s">
        <v>108</v>
      </c>
      <c r="J19" s="47" t="s">
        <v>552</v>
      </c>
      <c r="K19" s="30"/>
      <c r="L19" s="30" t="s">
        <v>111</v>
      </c>
      <c r="M19" s="30" t="s">
        <v>111</v>
      </c>
    </row>
  </sheetData>
  <autoFilter xmlns:etc="http://www.wps.cn/officeDocument/2017/etCustomData" ref="M4:M19" etc:filterBottomFollowUsedRange="0">
    <extLst/>
  </autoFilter>
  <mergeCells count="45">
    <mergeCell ref="A1:J1"/>
    <mergeCell ref="K1:M1"/>
    <mergeCell ref="L2:M2"/>
    <mergeCell ref="A2:A4"/>
    <mergeCell ref="A6:A8"/>
    <mergeCell ref="A9:A10"/>
    <mergeCell ref="A11:A14"/>
    <mergeCell ref="A15:A17"/>
    <mergeCell ref="B2:B4"/>
    <mergeCell ref="B6:B8"/>
    <mergeCell ref="B9:B10"/>
    <mergeCell ref="B11:B14"/>
    <mergeCell ref="B15:B17"/>
    <mergeCell ref="C2:C4"/>
    <mergeCell ref="C6:C8"/>
    <mergeCell ref="C9:C10"/>
    <mergeCell ref="C11:C14"/>
    <mergeCell ref="C15:C17"/>
    <mergeCell ref="D2:D4"/>
    <mergeCell ref="D6:D8"/>
    <mergeCell ref="D9:D10"/>
    <mergeCell ref="D11:D14"/>
    <mergeCell ref="D15:D17"/>
    <mergeCell ref="E2:E4"/>
    <mergeCell ref="E6:E8"/>
    <mergeCell ref="E9:E10"/>
    <mergeCell ref="E11:E14"/>
    <mergeCell ref="E15:E17"/>
    <mergeCell ref="F2:F4"/>
    <mergeCell ref="G2:G4"/>
    <mergeCell ref="H2:H4"/>
    <mergeCell ref="I2:I4"/>
    <mergeCell ref="J2:J4"/>
    <mergeCell ref="K6:K8"/>
    <mergeCell ref="K9:K10"/>
    <mergeCell ref="K11:K14"/>
    <mergeCell ref="K15:K17"/>
    <mergeCell ref="L6:L8"/>
    <mergeCell ref="L9:L10"/>
    <mergeCell ref="L11:L14"/>
    <mergeCell ref="L15:L17"/>
    <mergeCell ref="M6:M8"/>
    <mergeCell ref="M9:M10"/>
    <mergeCell ref="M11:M14"/>
    <mergeCell ref="M15:M17"/>
  </mergeCells>
  <dataValidations count="2">
    <dataValidation type="list" allowBlank="1" showInputMessage="1" showErrorMessage="1" sqref="A9 A11 A15 A5:A6 A18:A19">
      <formula1>"计量采样,计量结算,终端配置参数,终端运行参数,阀门,异常大流量,装反,电源,NB通信,电子封印,生产,固件升级,用水分析"</formula1>
    </dataValidation>
    <dataValidation type="list" allowBlank="1" showInputMessage="1" showErrorMessage="1" sqref="H5:H19">
      <formula1>"无符号整型,无符号整型扩大倍数,BCD码整型,ASCII字符串,BCD码扩大倍数,有符号整型,有符号整型扩大倍数,HEX串"</formula1>
    </dataValidation>
  </dataValidations>
  <pageMargins left="0.75" right="0.75" top="1" bottom="1" header="0.511805555555556" footer="0.511805555555556"/>
  <pageSetup paperSize="9" orientation="portrait" horizontalDpi="300"/>
  <headerFooter/>
  <ignoredErrors>
    <ignoredError sqref="A1:M19" listDataValidation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2"/>
  <sheetViews>
    <sheetView zoomScale="85" zoomScaleNormal="85" workbookViewId="0">
      <pane ySplit="4" topLeftCell="A55" activePane="bottomLeft" state="frozen"/>
      <selection/>
      <selection pane="bottomLeft" activeCell="F59" sqref="F59"/>
    </sheetView>
  </sheetViews>
  <sheetFormatPr defaultColWidth="9" defaultRowHeight="14.4"/>
  <cols>
    <col min="1" max="1" width="25.7314814814815" customWidth="1"/>
    <col min="2" max="2" width="9.4537037037037" style="6" customWidth="1"/>
    <col min="3" max="3" width="30.9074074074074" customWidth="1"/>
    <col min="4" max="4" width="17.0925925925926" customWidth="1"/>
    <col min="5" max="5" width="27" customWidth="1"/>
    <col min="6" max="6" width="43.3611111111111" customWidth="1"/>
    <col min="7" max="7" width="17.2685185185185" customWidth="1"/>
    <col min="8" max="9" width="14" customWidth="1"/>
  </cols>
  <sheetData>
    <row r="1" ht="30" customHeight="1" spans="1:10">
      <c r="A1" s="65"/>
      <c r="B1" s="66"/>
      <c r="C1" s="66"/>
      <c r="D1" s="66"/>
      <c r="E1" s="66"/>
      <c r="F1" s="67"/>
      <c r="G1" s="68" t="s">
        <v>88</v>
      </c>
      <c r="H1" s="68"/>
      <c r="I1" s="68"/>
      <c r="J1" s="69"/>
    </row>
    <row r="2" ht="14.25" customHeight="1" spans="1:10">
      <c r="A2" s="13" t="s">
        <v>553</v>
      </c>
      <c r="B2" s="13" t="s">
        <v>2</v>
      </c>
      <c r="C2" s="12" t="s">
        <v>92</v>
      </c>
      <c r="D2" s="13" t="s">
        <v>97</v>
      </c>
      <c r="E2" s="13" t="s">
        <v>554</v>
      </c>
      <c r="F2" s="13" t="s">
        <v>354</v>
      </c>
      <c r="G2" s="14" t="s">
        <v>98</v>
      </c>
      <c r="H2" s="14" t="s">
        <v>99</v>
      </c>
      <c r="I2" s="14"/>
      <c r="J2" s="69"/>
    </row>
    <row r="3" ht="14.25" customHeight="1" spans="1:10">
      <c r="A3" s="13"/>
      <c r="B3" s="13"/>
      <c r="C3" s="16"/>
      <c r="D3" s="13"/>
      <c r="E3" s="13"/>
      <c r="F3" s="13"/>
      <c r="G3" s="14" t="s">
        <v>100</v>
      </c>
      <c r="H3" s="17" t="s">
        <v>100</v>
      </c>
      <c r="I3" s="14" t="s">
        <v>101</v>
      </c>
      <c r="J3" s="69"/>
    </row>
    <row r="4" ht="26.15" customHeight="1" spans="1:10">
      <c r="A4" s="13"/>
      <c r="B4" s="13"/>
      <c r="C4" s="19"/>
      <c r="D4" s="13"/>
      <c r="E4" s="13"/>
      <c r="F4" s="13"/>
      <c r="G4" s="14" t="s">
        <v>355</v>
      </c>
      <c r="H4" s="14" t="s">
        <v>555</v>
      </c>
      <c r="I4" s="14" t="s">
        <v>555</v>
      </c>
      <c r="J4" s="69"/>
    </row>
    <row r="5" ht="20.15" customHeight="1" spans="1:10">
      <c r="A5" s="21" t="s">
        <v>556</v>
      </c>
      <c r="B5" s="70" t="s">
        <v>557</v>
      </c>
      <c r="C5" s="37" t="s">
        <v>556</v>
      </c>
      <c r="D5" s="37"/>
      <c r="E5" s="37" t="s">
        <v>558</v>
      </c>
      <c r="F5" s="37"/>
      <c r="G5" s="26" t="s">
        <v>111</v>
      </c>
      <c r="H5" s="26" t="s">
        <v>111</v>
      </c>
      <c r="I5" s="26"/>
      <c r="J5" s="69"/>
    </row>
    <row r="6" ht="20.15" customHeight="1" spans="1:10">
      <c r="A6" s="23"/>
      <c r="B6" s="71"/>
      <c r="C6" s="37"/>
      <c r="D6" s="37"/>
      <c r="E6" s="37" t="s">
        <v>122</v>
      </c>
      <c r="F6" s="37" t="s">
        <v>123</v>
      </c>
      <c r="G6" s="32"/>
      <c r="H6" s="32"/>
      <c r="I6" s="32"/>
      <c r="J6" s="69"/>
    </row>
    <row r="7" s="4" customFormat="1" ht="20.15" customHeight="1" spans="1:10">
      <c r="A7" s="34"/>
      <c r="B7" s="72"/>
      <c r="C7" s="37"/>
      <c r="D7" s="37"/>
      <c r="E7" s="37" t="s">
        <v>126</v>
      </c>
      <c r="F7" s="37" t="s">
        <v>127</v>
      </c>
      <c r="G7" s="73"/>
      <c r="H7" s="73"/>
      <c r="I7" s="73"/>
      <c r="J7" s="74"/>
    </row>
    <row r="8" s="4" customFormat="1" ht="20.15" customHeight="1" spans="1:10">
      <c r="A8" s="37" t="s">
        <v>559</v>
      </c>
      <c r="B8" s="75" t="s">
        <v>560</v>
      </c>
      <c r="C8" s="37" t="s">
        <v>559</v>
      </c>
      <c r="D8" s="37"/>
      <c r="E8" s="37" t="s">
        <v>558</v>
      </c>
      <c r="F8" s="37"/>
      <c r="G8" s="20" t="s">
        <v>111</v>
      </c>
      <c r="H8" s="20" t="s">
        <v>111</v>
      </c>
      <c r="I8" s="26"/>
      <c r="J8" s="74"/>
    </row>
    <row r="9" s="4" customFormat="1" ht="20.15" customHeight="1" spans="1:10">
      <c r="A9" s="37"/>
      <c r="B9" s="76"/>
      <c r="C9" s="37"/>
      <c r="D9" s="37"/>
      <c r="E9" s="37" t="s">
        <v>122</v>
      </c>
      <c r="F9" s="37" t="s">
        <v>123</v>
      </c>
      <c r="G9" s="27"/>
      <c r="H9" s="27"/>
      <c r="I9" s="32"/>
      <c r="J9" s="74"/>
    </row>
    <row r="10" s="4" customFormat="1" ht="20.15" customHeight="1" spans="1:10">
      <c r="A10" s="37"/>
      <c r="B10" s="77"/>
      <c r="C10" s="37"/>
      <c r="D10" s="37"/>
      <c r="E10" s="37" t="s">
        <v>561</v>
      </c>
      <c r="F10" s="37" t="s">
        <v>562</v>
      </c>
      <c r="G10" s="33"/>
      <c r="H10" s="33"/>
      <c r="I10" s="73"/>
      <c r="J10" s="74"/>
    </row>
    <row r="11" s="4" customFormat="1" ht="20.15" customHeight="1" spans="1:10">
      <c r="A11" s="37" t="s">
        <v>563</v>
      </c>
      <c r="B11" s="75" t="s">
        <v>564</v>
      </c>
      <c r="C11" s="37" t="s">
        <v>563</v>
      </c>
      <c r="D11" s="37"/>
      <c r="E11" s="37" t="s">
        <v>558</v>
      </c>
      <c r="F11" s="78"/>
      <c r="G11" s="26" t="s">
        <v>111</v>
      </c>
      <c r="H11" s="26" t="s">
        <v>111</v>
      </c>
      <c r="I11" s="26"/>
      <c r="J11" s="74"/>
    </row>
    <row r="12" s="4" customFormat="1" ht="20.15" customHeight="1" spans="1:10">
      <c r="A12" s="37"/>
      <c r="B12" s="76"/>
      <c r="C12" s="37"/>
      <c r="D12" s="37"/>
      <c r="E12" s="37" t="s">
        <v>122</v>
      </c>
      <c r="F12" s="78" t="s">
        <v>123</v>
      </c>
      <c r="G12" s="32"/>
      <c r="H12" s="32"/>
      <c r="I12" s="32"/>
      <c r="J12" s="74"/>
    </row>
    <row r="13" s="4" customFormat="1" ht="20.15" customHeight="1" spans="1:10">
      <c r="A13" s="37"/>
      <c r="B13" s="77"/>
      <c r="C13" s="37"/>
      <c r="D13" s="37"/>
      <c r="E13" s="37" t="s">
        <v>126</v>
      </c>
      <c r="F13" s="78" t="s">
        <v>127</v>
      </c>
      <c r="G13" s="73"/>
      <c r="H13" s="73"/>
      <c r="I13" s="73"/>
      <c r="J13" s="74"/>
    </row>
    <row r="14" s="4" customFormat="1" ht="20.15" customHeight="1" spans="1:10">
      <c r="A14" s="21" t="s">
        <v>565</v>
      </c>
      <c r="B14" s="21" t="s">
        <v>566</v>
      </c>
      <c r="C14" s="37" t="s">
        <v>565</v>
      </c>
      <c r="D14" s="37"/>
      <c r="E14" s="37" t="s">
        <v>558</v>
      </c>
      <c r="F14" s="78"/>
      <c r="G14" s="26" t="s">
        <v>111</v>
      </c>
      <c r="H14" s="26" t="s">
        <v>111</v>
      </c>
      <c r="I14" s="26"/>
      <c r="J14" s="74"/>
    </row>
    <row r="15" s="4" customFormat="1" ht="20.15" customHeight="1" spans="1:10">
      <c r="A15" s="23"/>
      <c r="B15" s="23"/>
      <c r="C15" s="37"/>
      <c r="D15" s="37"/>
      <c r="E15" s="37" t="s">
        <v>122</v>
      </c>
      <c r="F15" s="78" t="s">
        <v>123</v>
      </c>
      <c r="G15" s="32"/>
      <c r="H15" s="32"/>
      <c r="I15" s="32"/>
      <c r="J15" s="74"/>
    </row>
    <row r="16" s="4" customFormat="1" ht="20.15" customHeight="1" spans="1:10">
      <c r="A16" s="34"/>
      <c r="B16" s="34"/>
      <c r="C16" s="37"/>
      <c r="D16" s="37"/>
      <c r="E16" s="37" t="s">
        <v>126</v>
      </c>
      <c r="F16" s="78" t="s">
        <v>127</v>
      </c>
      <c r="G16" s="73"/>
      <c r="H16" s="73"/>
      <c r="I16" s="73"/>
      <c r="J16" s="74"/>
    </row>
    <row r="17" s="4" customFormat="1" ht="20.15" customHeight="1" spans="1:10">
      <c r="A17" s="79" t="s">
        <v>567</v>
      </c>
      <c r="B17" s="80" t="s">
        <v>568</v>
      </c>
      <c r="C17" s="81"/>
      <c r="D17" s="81"/>
      <c r="E17" s="81" t="s">
        <v>117</v>
      </c>
      <c r="F17" s="82" t="s">
        <v>558</v>
      </c>
      <c r="G17" s="76" t="s">
        <v>111</v>
      </c>
      <c r="H17" s="76" t="s">
        <v>111</v>
      </c>
      <c r="I17" s="76"/>
      <c r="J17" s="74"/>
    </row>
    <row r="18" s="4" customFormat="1" ht="20.15" customHeight="1" spans="1:10">
      <c r="A18" s="79"/>
      <c r="B18" s="80"/>
      <c r="C18" s="81"/>
      <c r="D18" s="81"/>
      <c r="E18" s="81" t="s">
        <v>122</v>
      </c>
      <c r="F18" s="82" t="s">
        <v>123</v>
      </c>
      <c r="G18" s="76"/>
      <c r="H18" s="76"/>
      <c r="I18" s="76"/>
      <c r="J18" s="74"/>
    </row>
    <row r="19" s="4" customFormat="1" ht="20.15" customHeight="1" spans="1:10">
      <c r="A19" s="79"/>
      <c r="B19" s="80"/>
      <c r="C19" s="81"/>
      <c r="D19" s="81"/>
      <c r="E19" s="81" t="s">
        <v>126</v>
      </c>
      <c r="F19" s="83" t="s">
        <v>127</v>
      </c>
      <c r="G19" s="76"/>
      <c r="H19" s="76"/>
      <c r="I19" s="76"/>
      <c r="J19" s="74"/>
    </row>
    <row r="20" s="4" customFormat="1" ht="20.15" customHeight="1" spans="1:10">
      <c r="A20" s="79"/>
      <c r="B20" s="80"/>
      <c r="C20" s="81"/>
      <c r="D20" s="81"/>
      <c r="E20" s="84" t="s">
        <v>49</v>
      </c>
      <c r="F20" s="85" t="s">
        <v>222</v>
      </c>
      <c r="G20" s="76"/>
      <c r="H20" s="76"/>
      <c r="I20" s="76"/>
      <c r="J20" s="74"/>
    </row>
    <row r="21" s="4" customFormat="1" ht="20.15" customHeight="1" spans="1:10">
      <c r="A21" s="81" t="s">
        <v>569</v>
      </c>
      <c r="B21" s="84" t="s">
        <v>570</v>
      </c>
      <c r="C21" s="81"/>
      <c r="D21" s="81"/>
      <c r="E21" s="81" t="s">
        <v>117</v>
      </c>
      <c r="F21" s="82" t="s">
        <v>558</v>
      </c>
      <c r="G21" s="26" t="s">
        <v>111</v>
      </c>
      <c r="H21" s="26" t="s">
        <v>111</v>
      </c>
      <c r="I21" s="26"/>
      <c r="J21" s="74"/>
    </row>
    <row r="22" s="4" customFormat="1" ht="20.15" customHeight="1" spans="1:10">
      <c r="A22" s="81"/>
      <c r="B22" s="84"/>
      <c r="C22" s="81"/>
      <c r="D22" s="81"/>
      <c r="E22" s="81" t="s">
        <v>122</v>
      </c>
      <c r="F22" s="83" t="s">
        <v>123</v>
      </c>
      <c r="G22" s="32"/>
      <c r="H22" s="32"/>
      <c r="I22" s="32"/>
      <c r="J22" s="74"/>
    </row>
    <row r="23" s="4" customFormat="1" ht="20.15" customHeight="1" spans="1:10">
      <c r="A23" s="81"/>
      <c r="B23" s="84"/>
      <c r="C23" s="81"/>
      <c r="D23" s="81"/>
      <c r="E23" s="81" t="s">
        <v>126</v>
      </c>
      <c r="F23" s="83" t="s">
        <v>127</v>
      </c>
      <c r="G23" s="32"/>
      <c r="H23" s="32"/>
      <c r="I23" s="32"/>
      <c r="J23" s="74"/>
    </row>
    <row r="24" s="4" customFormat="1" ht="20.15" customHeight="1" spans="1:10">
      <c r="A24" s="81"/>
      <c r="B24" s="84"/>
      <c r="C24" s="81"/>
      <c r="D24" s="81"/>
      <c r="E24" s="84" t="s">
        <v>49</v>
      </c>
      <c r="F24" s="85" t="s">
        <v>222</v>
      </c>
      <c r="G24" s="32"/>
      <c r="H24" s="32"/>
      <c r="I24" s="32"/>
      <c r="J24" s="74"/>
    </row>
    <row r="25" s="4" customFormat="1" ht="20.15" customHeight="1" spans="1:10">
      <c r="A25" s="81" t="s">
        <v>571</v>
      </c>
      <c r="B25" s="84" t="s">
        <v>572</v>
      </c>
      <c r="C25" s="81"/>
      <c r="D25" s="81"/>
      <c r="E25" s="81" t="s">
        <v>117</v>
      </c>
      <c r="F25" s="82" t="s">
        <v>558</v>
      </c>
      <c r="G25" s="42" t="s">
        <v>111</v>
      </c>
      <c r="H25" s="42" t="s">
        <v>111</v>
      </c>
      <c r="I25" s="42"/>
      <c r="J25" s="74"/>
    </row>
    <row r="26" s="4" customFormat="1" ht="20.15" customHeight="1" spans="1:10">
      <c r="A26" s="81"/>
      <c r="B26" s="84"/>
      <c r="C26" s="81"/>
      <c r="D26" s="81"/>
      <c r="E26" s="81" t="s">
        <v>122</v>
      </c>
      <c r="F26" s="83" t="s">
        <v>123</v>
      </c>
      <c r="G26" s="42"/>
      <c r="H26" s="42"/>
      <c r="I26" s="42"/>
      <c r="J26" s="74"/>
    </row>
    <row r="27" s="4" customFormat="1" ht="20.15" customHeight="1" spans="1:10">
      <c r="A27" s="81"/>
      <c r="B27" s="84"/>
      <c r="C27" s="81"/>
      <c r="D27" s="81"/>
      <c r="E27" s="81" t="s">
        <v>126</v>
      </c>
      <c r="F27" s="83" t="s">
        <v>127</v>
      </c>
      <c r="G27" s="42"/>
      <c r="H27" s="42"/>
      <c r="I27" s="42"/>
      <c r="J27" s="74"/>
    </row>
    <row r="28" s="4" customFormat="1" ht="20.15" customHeight="1" spans="1:10">
      <c r="A28" s="81"/>
      <c r="B28" s="84"/>
      <c r="C28" s="81"/>
      <c r="D28" s="81"/>
      <c r="E28" s="84" t="s">
        <v>49</v>
      </c>
      <c r="F28" s="85" t="s">
        <v>222</v>
      </c>
      <c r="G28" s="42"/>
      <c r="H28" s="42"/>
      <c r="I28" s="42"/>
      <c r="J28" s="74"/>
    </row>
    <row r="29" ht="31.2" spans="1:10">
      <c r="A29" s="42" t="s">
        <v>573</v>
      </c>
      <c r="B29" s="20" t="s">
        <v>574</v>
      </c>
      <c r="C29" s="37" t="s">
        <v>575</v>
      </c>
      <c r="D29" s="57" t="s">
        <v>576</v>
      </c>
      <c r="E29" s="37" t="s">
        <v>558</v>
      </c>
      <c r="F29" s="37"/>
      <c r="G29" s="21" t="s">
        <v>111</v>
      </c>
      <c r="H29" s="21" t="s">
        <v>111</v>
      </c>
      <c r="I29" s="21"/>
      <c r="J29" s="86" t="s">
        <v>112</v>
      </c>
    </row>
    <row r="30" ht="15.6" spans="1:10">
      <c r="A30" s="42"/>
      <c r="B30" s="27"/>
      <c r="C30" s="37"/>
      <c r="D30" s="57"/>
      <c r="E30" s="37" t="s">
        <v>65</v>
      </c>
      <c r="F30" s="37" t="s">
        <v>577</v>
      </c>
      <c r="G30" s="23"/>
      <c r="H30" s="23"/>
      <c r="I30" s="23"/>
      <c r="J30" s="87"/>
    </row>
    <row r="31" ht="15.6" spans="1:10">
      <c r="A31" s="42"/>
      <c r="B31" s="27"/>
      <c r="C31" s="37"/>
      <c r="D31" s="37"/>
      <c r="E31" s="37" t="s">
        <v>65</v>
      </c>
      <c r="F31" s="37" t="s">
        <v>578</v>
      </c>
      <c r="G31" s="23"/>
      <c r="H31" s="23"/>
      <c r="I31" s="23"/>
      <c r="J31" s="87"/>
    </row>
    <row r="32" ht="31.2" spans="1:10">
      <c r="A32" s="42"/>
      <c r="B32" s="27"/>
      <c r="C32" s="37"/>
      <c r="D32" s="37"/>
      <c r="E32" s="37" t="s">
        <v>219</v>
      </c>
      <c r="F32" s="37" t="s">
        <v>579</v>
      </c>
      <c r="G32" s="23"/>
      <c r="H32" s="23"/>
      <c r="I32" s="23"/>
      <c r="J32" s="87"/>
    </row>
    <row r="33" ht="15.6" spans="1:10">
      <c r="A33" s="42"/>
      <c r="B33" s="33"/>
      <c r="C33" s="37"/>
      <c r="D33" s="37"/>
      <c r="E33" s="37" t="s">
        <v>216</v>
      </c>
      <c r="F33" s="37" t="s">
        <v>580</v>
      </c>
      <c r="G33" s="34"/>
      <c r="H33" s="34"/>
      <c r="I33" s="34"/>
      <c r="J33" s="88"/>
    </row>
    <row r="34" ht="31.2" spans="1:10">
      <c r="A34" s="42" t="s">
        <v>581</v>
      </c>
      <c r="B34" s="20" t="s">
        <v>582</v>
      </c>
      <c r="C34" s="37" t="s">
        <v>575</v>
      </c>
      <c r="D34" s="57" t="s">
        <v>576</v>
      </c>
      <c r="E34" s="37" t="s">
        <v>558</v>
      </c>
      <c r="F34" s="37"/>
      <c r="G34" s="21" t="s">
        <v>111</v>
      </c>
      <c r="H34" s="21" t="s">
        <v>111</v>
      </c>
      <c r="I34" s="21"/>
      <c r="J34" s="86" t="s">
        <v>112</v>
      </c>
    </row>
    <row r="35" ht="15.6" spans="1:10">
      <c r="A35" s="42"/>
      <c r="B35" s="27"/>
      <c r="C35" s="37"/>
      <c r="D35" s="57"/>
      <c r="E35" s="37" t="s">
        <v>67</v>
      </c>
      <c r="F35" s="37" t="s">
        <v>577</v>
      </c>
      <c r="G35" s="23"/>
      <c r="H35" s="23"/>
      <c r="I35" s="23"/>
      <c r="J35" s="87"/>
    </row>
    <row r="36" ht="15.6" spans="1:10">
      <c r="A36" s="42"/>
      <c r="B36" s="27"/>
      <c r="C36" s="37"/>
      <c r="D36" s="37"/>
      <c r="E36" s="37" t="s">
        <v>67</v>
      </c>
      <c r="F36" s="37" t="s">
        <v>578</v>
      </c>
      <c r="G36" s="23"/>
      <c r="H36" s="23"/>
      <c r="I36" s="23"/>
      <c r="J36" s="87"/>
    </row>
    <row r="37" ht="31.2" spans="1:10">
      <c r="A37" s="42"/>
      <c r="B37" s="27"/>
      <c r="C37" s="37"/>
      <c r="D37" s="37"/>
      <c r="E37" s="37" t="s">
        <v>219</v>
      </c>
      <c r="F37" s="37" t="s">
        <v>579</v>
      </c>
      <c r="G37" s="23"/>
      <c r="H37" s="23"/>
      <c r="I37" s="23"/>
      <c r="J37" s="87"/>
    </row>
    <row r="38" ht="15.6" spans="1:10">
      <c r="A38" s="42"/>
      <c r="B38" s="33"/>
      <c r="C38" s="37"/>
      <c r="D38" s="37"/>
      <c r="E38" s="37" t="s">
        <v>216</v>
      </c>
      <c r="F38" s="37" t="s">
        <v>580</v>
      </c>
      <c r="G38" s="34"/>
      <c r="H38" s="34"/>
      <c r="I38" s="34"/>
      <c r="J38" s="88"/>
    </row>
    <row r="39" ht="31.2" spans="1:10">
      <c r="A39" s="42" t="s">
        <v>583</v>
      </c>
      <c r="B39" s="20" t="s">
        <v>584</v>
      </c>
      <c r="C39" s="37" t="s">
        <v>583</v>
      </c>
      <c r="D39" s="37">
        <v>34</v>
      </c>
      <c r="E39" s="37" t="s">
        <v>558</v>
      </c>
      <c r="F39" s="69"/>
      <c r="G39" s="21" t="s">
        <v>111</v>
      </c>
      <c r="H39" s="21" t="s">
        <v>111</v>
      </c>
      <c r="I39" s="21"/>
      <c r="J39" s="86" t="s">
        <v>112</v>
      </c>
    </row>
    <row r="40" ht="15.6" spans="1:10">
      <c r="A40" s="42"/>
      <c r="B40" s="27"/>
      <c r="C40" s="37"/>
      <c r="D40" s="37"/>
      <c r="E40" s="57" t="s">
        <v>105</v>
      </c>
      <c r="F40" s="37" t="s">
        <v>106</v>
      </c>
      <c r="G40" s="23"/>
      <c r="H40" s="23"/>
      <c r="I40" s="23"/>
      <c r="J40" s="87"/>
    </row>
    <row r="41" ht="15.6" spans="1:10">
      <c r="A41" s="42"/>
      <c r="B41" s="27"/>
      <c r="C41" s="37"/>
      <c r="D41" s="37"/>
      <c r="E41" s="57" t="s">
        <v>105</v>
      </c>
      <c r="F41" s="37" t="s">
        <v>585</v>
      </c>
      <c r="G41" s="23"/>
      <c r="H41" s="23"/>
      <c r="I41" s="23"/>
      <c r="J41" s="87"/>
    </row>
    <row r="42" ht="31.2" spans="1:10">
      <c r="A42" s="42"/>
      <c r="B42" s="27"/>
      <c r="C42" s="37"/>
      <c r="D42" s="37"/>
      <c r="E42" s="57" t="s">
        <v>219</v>
      </c>
      <c r="F42" s="37" t="s">
        <v>579</v>
      </c>
      <c r="G42" s="23"/>
      <c r="H42" s="23"/>
      <c r="I42" s="23"/>
      <c r="J42" s="87"/>
    </row>
    <row r="43" ht="15.6" spans="1:10">
      <c r="A43" s="42"/>
      <c r="B43" s="33"/>
      <c r="C43" s="37"/>
      <c r="D43" s="37"/>
      <c r="E43" s="57" t="s">
        <v>216</v>
      </c>
      <c r="F43" s="37" t="s">
        <v>580</v>
      </c>
      <c r="G43" s="34"/>
      <c r="H43" s="34"/>
      <c r="I43" s="34"/>
      <c r="J43" s="88"/>
    </row>
    <row r="44" ht="31.2" spans="1:10">
      <c r="A44" s="42" t="s">
        <v>586</v>
      </c>
      <c r="B44" s="20" t="s">
        <v>587</v>
      </c>
      <c r="C44" s="37" t="s">
        <v>586</v>
      </c>
      <c r="D44" s="37">
        <v>34</v>
      </c>
      <c r="E44" s="37" t="s">
        <v>558</v>
      </c>
      <c r="F44" s="69"/>
      <c r="G44" s="21" t="s">
        <v>111</v>
      </c>
      <c r="H44" s="21" t="s">
        <v>111</v>
      </c>
      <c r="I44" s="21"/>
      <c r="J44" s="86" t="s">
        <v>112</v>
      </c>
    </row>
    <row r="45" ht="15.6" spans="1:10">
      <c r="A45" s="42"/>
      <c r="B45" s="27"/>
      <c r="C45" s="37"/>
      <c r="D45" s="37"/>
      <c r="E45" s="57" t="s">
        <v>114</v>
      </c>
      <c r="F45" s="37" t="s">
        <v>115</v>
      </c>
      <c r="G45" s="23"/>
      <c r="H45" s="23"/>
      <c r="I45" s="23"/>
      <c r="J45" s="87"/>
    </row>
    <row r="46" ht="15.6" spans="1:10">
      <c r="A46" s="42"/>
      <c r="B46" s="27"/>
      <c r="C46" s="37"/>
      <c r="D46" s="37"/>
      <c r="E46" s="57" t="s">
        <v>114</v>
      </c>
      <c r="F46" s="37" t="s">
        <v>588</v>
      </c>
      <c r="G46" s="23"/>
      <c r="H46" s="23"/>
      <c r="I46" s="23"/>
      <c r="J46" s="87"/>
    </row>
    <row r="47" ht="31.2" spans="1:10">
      <c r="A47" s="42"/>
      <c r="B47" s="27"/>
      <c r="C47" s="37"/>
      <c r="D47" s="37"/>
      <c r="E47" s="37" t="s">
        <v>219</v>
      </c>
      <c r="F47" s="37" t="s">
        <v>579</v>
      </c>
      <c r="G47" s="23"/>
      <c r="H47" s="23"/>
      <c r="I47" s="23"/>
      <c r="J47" s="87"/>
    </row>
    <row r="48" ht="15.6" spans="1:10">
      <c r="A48" s="42"/>
      <c r="B48" s="33"/>
      <c r="C48" s="37"/>
      <c r="D48" s="37"/>
      <c r="E48" s="37" t="s">
        <v>216</v>
      </c>
      <c r="F48" s="37" t="s">
        <v>580</v>
      </c>
      <c r="G48" s="34"/>
      <c r="H48" s="34"/>
      <c r="I48" s="34"/>
      <c r="J48" s="88"/>
    </row>
    <row r="49" ht="31.2" spans="1:10">
      <c r="A49" s="42" t="s">
        <v>589</v>
      </c>
      <c r="B49" s="20" t="s">
        <v>590</v>
      </c>
      <c r="C49" s="37" t="s">
        <v>589</v>
      </c>
      <c r="D49" s="37">
        <v>22</v>
      </c>
      <c r="E49" s="37" t="s">
        <v>558</v>
      </c>
      <c r="F49" s="69"/>
      <c r="G49" s="21" t="s">
        <v>111</v>
      </c>
      <c r="H49" s="21" t="s">
        <v>111</v>
      </c>
      <c r="I49" s="21"/>
      <c r="J49" s="86" t="s">
        <v>112</v>
      </c>
    </row>
    <row r="50" ht="15.6" spans="1:10">
      <c r="A50" s="42"/>
      <c r="B50" s="27"/>
      <c r="C50" s="37"/>
      <c r="D50" s="37"/>
      <c r="E50" s="57" t="s">
        <v>58</v>
      </c>
      <c r="F50" s="37" t="s">
        <v>261</v>
      </c>
      <c r="G50" s="23"/>
      <c r="H50" s="23"/>
      <c r="I50" s="23"/>
      <c r="J50" s="87"/>
    </row>
    <row r="51" ht="15.6" spans="1:10">
      <c r="A51" s="42"/>
      <c r="B51" s="27"/>
      <c r="C51" s="37"/>
      <c r="D51" s="37"/>
      <c r="E51" s="57" t="s">
        <v>58</v>
      </c>
      <c r="F51" s="37" t="s">
        <v>591</v>
      </c>
      <c r="G51" s="23"/>
      <c r="H51" s="23"/>
      <c r="I51" s="23"/>
      <c r="J51" s="87"/>
    </row>
    <row r="52" ht="31.2" spans="1:10">
      <c r="A52" s="42"/>
      <c r="B52" s="27"/>
      <c r="C52" s="37"/>
      <c r="D52" s="37"/>
      <c r="E52" s="57" t="s">
        <v>219</v>
      </c>
      <c r="F52" s="37" t="s">
        <v>579</v>
      </c>
      <c r="G52" s="23"/>
      <c r="H52" s="23"/>
      <c r="I52" s="23"/>
      <c r="J52" s="87"/>
    </row>
    <row r="53" ht="15.6" spans="1:10">
      <c r="A53" s="42"/>
      <c r="B53" s="33"/>
      <c r="C53" s="37"/>
      <c r="D53" s="37"/>
      <c r="E53" s="57" t="s">
        <v>216</v>
      </c>
      <c r="F53" s="37" t="s">
        <v>580</v>
      </c>
      <c r="G53" s="34"/>
      <c r="H53" s="34"/>
      <c r="I53" s="34"/>
      <c r="J53" s="88"/>
    </row>
    <row r="54" s="63" customFormat="1" ht="20.15" customHeight="1" spans="1:10">
      <c r="A54" s="89" t="s">
        <v>592</v>
      </c>
      <c r="B54" s="89" t="s">
        <v>593</v>
      </c>
      <c r="C54" s="89" t="s">
        <v>594</v>
      </c>
      <c r="D54" s="90"/>
      <c r="E54" s="90" t="s">
        <v>117</v>
      </c>
      <c r="F54" s="91" t="s">
        <v>558</v>
      </c>
      <c r="G54" s="92" t="s">
        <v>111</v>
      </c>
      <c r="H54" s="92" t="s">
        <v>111</v>
      </c>
      <c r="I54" s="92" t="s">
        <v>111</v>
      </c>
      <c r="J54" s="93"/>
    </row>
    <row r="55" s="63" customFormat="1" ht="20.15" customHeight="1" spans="1:10">
      <c r="A55" s="94"/>
      <c r="B55" s="94"/>
      <c r="C55" s="94"/>
      <c r="D55" s="90"/>
      <c r="E55" s="90" t="s">
        <v>122</v>
      </c>
      <c r="F55" s="91" t="s">
        <v>123</v>
      </c>
      <c r="G55" s="92"/>
      <c r="H55" s="92"/>
      <c r="I55" s="92"/>
      <c r="J55" s="93"/>
    </row>
    <row r="56" s="63" customFormat="1" ht="15.6" spans="1:10">
      <c r="A56" s="95"/>
      <c r="B56" s="95"/>
      <c r="C56" s="95"/>
      <c r="D56" s="90"/>
      <c r="E56" s="90" t="s">
        <v>126</v>
      </c>
      <c r="F56" s="91" t="s">
        <v>127</v>
      </c>
      <c r="G56" s="92"/>
      <c r="H56" s="92"/>
      <c r="I56" s="92"/>
      <c r="J56" s="93"/>
    </row>
    <row r="57" s="64" customFormat="1" ht="15.6" spans="1:10">
      <c r="A57" s="96" t="s">
        <v>595</v>
      </c>
      <c r="B57" s="97" t="s">
        <v>596</v>
      </c>
      <c r="C57" s="96" t="s">
        <v>597</v>
      </c>
      <c r="D57" s="98"/>
      <c r="E57" s="98" t="s">
        <v>598</v>
      </c>
      <c r="F57" s="99"/>
      <c r="G57" s="100" t="s">
        <v>111</v>
      </c>
      <c r="H57" s="100" t="s">
        <v>111</v>
      </c>
      <c r="I57" s="101" t="s">
        <v>111</v>
      </c>
      <c r="J57" s="102"/>
    </row>
    <row r="58" s="64" customFormat="1" ht="31.2" spans="1:10">
      <c r="A58" s="103"/>
      <c r="B58" s="104"/>
      <c r="C58" s="103"/>
      <c r="D58" s="98"/>
      <c r="E58" s="98" t="s">
        <v>500</v>
      </c>
      <c r="F58" s="99" t="s">
        <v>501</v>
      </c>
      <c r="G58" s="100"/>
      <c r="H58" s="100"/>
      <c r="I58" s="100"/>
      <c r="J58" s="102"/>
    </row>
    <row r="59" s="64" customFormat="1" ht="31.2" spans="1:10">
      <c r="A59" s="103"/>
      <c r="B59" s="104"/>
      <c r="C59" s="105"/>
      <c r="D59" s="98"/>
      <c r="E59" s="98" t="s">
        <v>504</v>
      </c>
      <c r="F59" s="106" t="s">
        <v>505</v>
      </c>
      <c r="G59" s="100"/>
      <c r="H59" s="100"/>
      <c r="I59" s="107"/>
      <c r="J59" s="102"/>
    </row>
    <row r="60" s="4" customFormat="1" ht="28" customHeight="1" spans="1:10">
      <c r="A60" s="21" t="s">
        <v>597</v>
      </c>
      <c r="B60" s="70" t="s">
        <v>43</v>
      </c>
      <c r="C60" s="21" t="s">
        <v>597</v>
      </c>
      <c r="D60" s="37"/>
      <c r="E60" s="37" t="s">
        <v>599</v>
      </c>
      <c r="F60" s="78"/>
      <c r="G60" s="32" t="s">
        <v>111</v>
      </c>
      <c r="H60" s="32" t="s">
        <v>111</v>
      </c>
      <c r="I60" s="32" t="s">
        <v>111</v>
      </c>
      <c r="J60" s="74"/>
    </row>
    <row r="61" s="4" customFormat="1" ht="28" customHeight="1" spans="1:10">
      <c r="A61" s="23"/>
      <c r="B61" s="71"/>
      <c r="C61" s="23"/>
      <c r="D61" s="37"/>
      <c r="E61" s="37" t="s">
        <v>242</v>
      </c>
      <c r="F61" s="78" t="s">
        <v>243</v>
      </c>
      <c r="G61" s="32"/>
      <c r="H61" s="32"/>
      <c r="I61" s="32"/>
      <c r="J61" s="74"/>
    </row>
    <row r="62" s="4" customFormat="1" ht="28" customHeight="1" spans="1:10">
      <c r="A62" s="23"/>
      <c r="B62" s="71"/>
      <c r="C62" s="23"/>
      <c r="D62" s="37"/>
      <c r="E62" s="37" t="s">
        <v>245</v>
      </c>
      <c r="F62" s="108" t="s">
        <v>246</v>
      </c>
      <c r="G62" s="32"/>
      <c r="H62" s="32"/>
      <c r="I62" s="32"/>
      <c r="J62" s="74"/>
    </row>
    <row r="63" s="4" customFormat="1" ht="28" customHeight="1" spans="1:10">
      <c r="A63" s="23"/>
      <c r="B63" s="71"/>
      <c r="C63" s="23"/>
      <c r="D63" s="37"/>
      <c r="E63" s="30" t="s">
        <v>255</v>
      </c>
      <c r="F63" s="108" t="s">
        <v>256</v>
      </c>
      <c r="G63" s="32"/>
      <c r="H63" s="32"/>
      <c r="I63" s="32"/>
      <c r="J63" s="74"/>
    </row>
    <row r="64" s="4" customFormat="1" ht="28" customHeight="1" spans="1:10">
      <c r="A64" s="34"/>
      <c r="B64" s="72"/>
      <c r="C64" s="34"/>
      <c r="D64" s="37"/>
      <c r="E64" s="30" t="s">
        <v>600</v>
      </c>
      <c r="F64" s="108" t="s">
        <v>601</v>
      </c>
      <c r="G64" s="73"/>
      <c r="H64" s="73"/>
      <c r="I64" s="73"/>
      <c r="J64" s="74"/>
    </row>
    <row r="65" s="4" customFormat="1" ht="24" customHeight="1" spans="1:10">
      <c r="A65" s="20" t="s">
        <v>602</v>
      </c>
      <c r="B65" s="70" t="s">
        <v>603</v>
      </c>
      <c r="C65" s="21" t="s">
        <v>602</v>
      </c>
      <c r="D65" s="37"/>
      <c r="E65" s="37" t="s">
        <v>604</v>
      </c>
      <c r="F65" s="37"/>
      <c r="G65" s="20" t="s">
        <v>111</v>
      </c>
      <c r="H65" s="20" t="s">
        <v>111</v>
      </c>
      <c r="I65" s="20" t="s">
        <v>111</v>
      </c>
      <c r="J65" s="74"/>
    </row>
    <row r="66" s="4" customFormat="1" ht="26.15" customHeight="1" spans="1:10">
      <c r="A66" s="33"/>
      <c r="B66" s="72"/>
      <c r="C66" s="34"/>
      <c r="D66" s="37"/>
      <c r="E66" s="57" t="s">
        <v>506</v>
      </c>
      <c r="F66" s="37" t="s">
        <v>507</v>
      </c>
      <c r="G66" s="33"/>
      <c r="H66" s="33"/>
      <c r="I66" s="33"/>
      <c r="J66" s="74"/>
    </row>
    <row r="67" s="5" customFormat="1" ht="22" customHeight="1" spans="1:10">
      <c r="A67" s="20" t="s">
        <v>605</v>
      </c>
      <c r="B67" s="70" t="s">
        <v>606</v>
      </c>
      <c r="C67" s="21" t="s">
        <v>605</v>
      </c>
      <c r="D67" s="37"/>
      <c r="E67" s="57" t="s">
        <v>604</v>
      </c>
      <c r="F67" s="37"/>
      <c r="G67" s="20" t="s">
        <v>111</v>
      </c>
      <c r="H67" s="20" t="s">
        <v>111</v>
      </c>
      <c r="I67" s="20" t="s">
        <v>111</v>
      </c>
      <c r="J67" s="109"/>
    </row>
    <row r="68" ht="31.2" spans="1:10">
      <c r="A68" s="33"/>
      <c r="B68" s="72"/>
      <c r="C68" s="34"/>
      <c r="D68" s="37"/>
      <c r="E68" s="57" t="s">
        <v>509</v>
      </c>
      <c r="F68" s="37" t="s">
        <v>510</v>
      </c>
      <c r="G68" s="33"/>
      <c r="H68" s="33"/>
      <c r="I68" s="33"/>
      <c r="J68" s="69"/>
    </row>
    <row r="69" ht="15.6" spans="1:10">
      <c r="A69" s="20" t="s">
        <v>607</v>
      </c>
      <c r="B69" s="70" t="s">
        <v>608</v>
      </c>
      <c r="C69" s="21" t="s">
        <v>607</v>
      </c>
      <c r="D69" s="37"/>
      <c r="E69" s="57" t="s">
        <v>609</v>
      </c>
      <c r="F69" s="37"/>
      <c r="G69" s="20" t="s">
        <v>111</v>
      </c>
      <c r="H69" s="20" t="s">
        <v>111</v>
      </c>
      <c r="I69" s="20" t="s">
        <v>111</v>
      </c>
      <c r="J69" s="69"/>
    </row>
    <row r="70" ht="31.2" spans="1:10">
      <c r="A70" s="33"/>
      <c r="B70" s="72"/>
      <c r="C70" s="34"/>
      <c r="D70" s="37"/>
      <c r="E70" s="57" t="s">
        <v>512</v>
      </c>
      <c r="F70" s="37" t="s">
        <v>607</v>
      </c>
      <c r="G70" s="33"/>
      <c r="H70" s="33"/>
      <c r="I70" s="33"/>
      <c r="J70" s="69"/>
    </row>
    <row r="71" ht="15.6" spans="1:10">
      <c r="A71" s="20" t="s">
        <v>610</v>
      </c>
      <c r="B71" s="70" t="s">
        <v>611</v>
      </c>
      <c r="C71" s="21" t="s">
        <v>610</v>
      </c>
      <c r="D71" s="37"/>
      <c r="E71" s="57" t="s">
        <v>609</v>
      </c>
      <c r="F71" s="37"/>
      <c r="G71" s="20" t="s">
        <v>111</v>
      </c>
      <c r="H71" s="20" t="s">
        <v>111</v>
      </c>
      <c r="I71" s="20" t="s">
        <v>111</v>
      </c>
      <c r="J71" s="69"/>
    </row>
    <row r="72" ht="31.2" spans="1:10">
      <c r="A72" s="33"/>
      <c r="B72" s="72"/>
      <c r="C72" s="34"/>
      <c r="D72" s="37"/>
      <c r="E72" s="57" t="s">
        <v>515</v>
      </c>
      <c r="F72" s="37" t="s">
        <v>610</v>
      </c>
      <c r="G72" s="33"/>
      <c r="H72" s="33"/>
      <c r="I72" s="33"/>
      <c r="J72" s="69"/>
    </row>
  </sheetData>
  <mergeCells count="116">
    <mergeCell ref="A1:F1"/>
    <mergeCell ref="G1:I1"/>
    <mergeCell ref="H2:I2"/>
    <mergeCell ref="A2:A4"/>
    <mergeCell ref="A5:A7"/>
    <mergeCell ref="A8:A10"/>
    <mergeCell ref="A11:A13"/>
    <mergeCell ref="A14:A16"/>
    <mergeCell ref="A17:A20"/>
    <mergeCell ref="A21:A24"/>
    <mergeCell ref="A25:A28"/>
    <mergeCell ref="A29:A33"/>
    <mergeCell ref="A34:A38"/>
    <mergeCell ref="A39:A43"/>
    <mergeCell ref="A44:A48"/>
    <mergeCell ref="A49:A53"/>
    <mergeCell ref="A54:A56"/>
    <mergeCell ref="A57:A59"/>
    <mergeCell ref="A60:A64"/>
    <mergeCell ref="A65:A66"/>
    <mergeCell ref="A67:A68"/>
    <mergeCell ref="A69:A70"/>
    <mergeCell ref="A71:A72"/>
    <mergeCell ref="B2:B4"/>
    <mergeCell ref="B5:B7"/>
    <mergeCell ref="B8:B10"/>
    <mergeCell ref="B11:B13"/>
    <mergeCell ref="B14:B16"/>
    <mergeCell ref="B17:B20"/>
    <mergeCell ref="B21:B24"/>
    <mergeCell ref="B25:B28"/>
    <mergeCell ref="B29:B33"/>
    <mergeCell ref="B34:B38"/>
    <mergeCell ref="B39:B43"/>
    <mergeCell ref="B44:B48"/>
    <mergeCell ref="B49:B53"/>
    <mergeCell ref="B54:B56"/>
    <mergeCell ref="B57:B59"/>
    <mergeCell ref="B60:B64"/>
    <mergeCell ref="B65:B66"/>
    <mergeCell ref="B67:B68"/>
    <mergeCell ref="B69:B70"/>
    <mergeCell ref="B71:B72"/>
    <mergeCell ref="C2:C4"/>
    <mergeCell ref="C54:C56"/>
    <mergeCell ref="C57:C59"/>
    <mergeCell ref="C60:C64"/>
    <mergeCell ref="C65:C66"/>
    <mergeCell ref="C67:C68"/>
    <mergeCell ref="C69:C70"/>
    <mergeCell ref="C71:C72"/>
    <mergeCell ref="D2:D4"/>
    <mergeCell ref="E2:E4"/>
    <mergeCell ref="F2:F4"/>
    <mergeCell ref="G5:G7"/>
    <mergeCell ref="G8:G10"/>
    <mergeCell ref="G11:G13"/>
    <mergeCell ref="G14:G16"/>
    <mergeCell ref="G17:G20"/>
    <mergeCell ref="G21:G24"/>
    <mergeCell ref="G25:G28"/>
    <mergeCell ref="G29:G33"/>
    <mergeCell ref="G34:G38"/>
    <mergeCell ref="G39:G43"/>
    <mergeCell ref="G44:G48"/>
    <mergeCell ref="G49:G53"/>
    <mergeCell ref="G54:G56"/>
    <mergeCell ref="G57:G59"/>
    <mergeCell ref="G60:G64"/>
    <mergeCell ref="G65:G66"/>
    <mergeCell ref="G67:G68"/>
    <mergeCell ref="G69:G70"/>
    <mergeCell ref="G71:G72"/>
    <mergeCell ref="H5:H7"/>
    <mergeCell ref="H8:H10"/>
    <mergeCell ref="H11:H13"/>
    <mergeCell ref="H14:H16"/>
    <mergeCell ref="H17:H20"/>
    <mergeCell ref="H21:H24"/>
    <mergeCell ref="H25:H28"/>
    <mergeCell ref="H29:H33"/>
    <mergeCell ref="H34:H38"/>
    <mergeCell ref="H39:H43"/>
    <mergeCell ref="H44:H48"/>
    <mergeCell ref="H49:H53"/>
    <mergeCell ref="H54:H56"/>
    <mergeCell ref="H57:H59"/>
    <mergeCell ref="H60:H64"/>
    <mergeCell ref="H65:H66"/>
    <mergeCell ref="H67:H68"/>
    <mergeCell ref="H69:H70"/>
    <mergeCell ref="H71:H72"/>
    <mergeCell ref="I5:I7"/>
    <mergeCell ref="I8:I10"/>
    <mergeCell ref="I11:I13"/>
    <mergeCell ref="I14:I16"/>
    <mergeCell ref="I17:I20"/>
    <mergeCell ref="I21:I24"/>
    <mergeCell ref="I25:I28"/>
    <mergeCell ref="I29:I33"/>
    <mergeCell ref="I34:I38"/>
    <mergeCell ref="I39:I43"/>
    <mergeCell ref="I44:I48"/>
    <mergeCell ref="I49:I53"/>
    <mergeCell ref="I54:I56"/>
    <mergeCell ref="I57:I59"/>
    <mergeCell ref="I60:I64"/>
    <mergeCell ref="I65:I66"/>
    <mergeCell ref="I67:I68"/>
    <mergeCell ref="I69:I70"/>
    <mergeCell ref="I71:I72"/>
    <mergeCell ref="J29:J33"/>
    <mergeCell ref="J34:J38"/>
    <mergeCell ref="J39:J43"/>
    <mergeCell ref="J44:J48"/>
    <mergeCell ref="J49:J53"/>
  </mergeCells>
  <pageMargins left="0.75" right="0.75" top="1" bottom="1" header="0.511805555555556" footer="0.511805555555556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"/>
  <sheetViews>
    <sheetView zoomScale="85" zoomScaleNormal="85" workbookViewId="0">
      <pane ySplit="4" topLeftCell="A24" activePane="bottomLeft" state="frozen"/>
      <selection/>
      <selection pane="bottomLeft" activeCell="F25" sqref="F25:F26"/>
    </sheetView>
  </sheetViews>
  <sheetFormatPr defaultColWidth="9" defaultRowHeight="14.4"/>
  <cols>
    <col min="1" max="1" width="9.4537037037037" style="6" customWidth="1"/>
    <col min="2" max="2" width="22.9074074074074" style="6" customWidth="1"/>
    <col min="3" max="3" width="9.4537037037037" style="6" customWidth="1"/>
    <col min="4" max="4" width="7.4537037037037" customWidth="1"/>
    <col min="5" max="5" width="18.4537037037037" customWidth="1"/>
    <col min="6" max="6" width="9.90740740740741" customWidth="1"/>
    <col min="7" max="7" width="19.7314814814815" customWidth="1"/>
    <col min="8" max="8" width="8.26851851851852" customWidth="1"/>
    <col min="9" max="9" width="33.3611111111111" customWidth="1"/>
    <col min="10" max="10" width="16.6388888888889" customWidth="1"/>
    <col min="12" max="12" width="10.9074074074074" customWidth="1"/>
  </cols>
  <sheetData>
    <row r="1" ht="30" customHeight="1" spans="1:17">
      <c r="A1" s="7"/>
      <c r="B1" s="7"/>
      <c r="C1" s="7"/>
      <c r="D1" s="7"/>
      <c r="E1" s="7"/>
      <c r="F1" s="7"/>
      <c r="G1" s="7"/>
      <c r="H1" s="7"/>
      <c r="I1" s="8"/>
      <c r="J1" s="9" t="s">
        <v>88</v>
      </c>
      <c r="K1" s="9"/>
      <c r="L1" s="9"/>
    </row>
    <row r="2" ht="14.25" customHeight="1" spans="1:17">
      <c r="A2" s="10" t="s">
        <v>2</v>
      </c>
      <c r="B2" s="11" t="s">
        <v>465</v>
      </c>
      <c r="C2" s="12" t="s">
        <v>612</v>
      </c>
      <c r="D2" s="13" t="s">
        <v>95</v>
      </c>
      <c r="E2" s="10" t="s">
        <v>97</v>
      </c>
      <c r="F2" s="11" t="s">
        <v>96</v>
      </c>
      <c r="G2" s="13" t="s">
        <v>613</v>
      </c>
      <c r="H2" s="13" t="s">
        <v>353</v>
      </c>
      <c r="I2" s="10" t="s">
        <v>354</v>
      </c>
      <c r="J2" s="14" t="s">
        <v>98</v>
      </c>
      <c r="K2" s="14" t="s">
        <v>99</v>
      </c>
      <c r="L2" s="14"/>
    </row>
    <row r="3" ht="14.25" customHeight="1" spans="1:17">
      <c r="A3" s="10"/>
      <c r="B3" s="15"/>
      <c r="C3" s="16"/>
      <c r="D3" s="13"/>
      <c r="E3" s="10"/>
      <c r="F3" s="15"/>
      <c r="G3" s="13"/>
      <c r="H3" s="13"/>
      <c r="I3" s="10"/>
      <c r="J3" s="14" t="s">
        <v>100</v>
      </c>
      <c r="K3" s="17" t="s">
        <v>100</v>
      </c>
      <c r="L3" s="14" t="s">
        <v>101</v>
      </c>
    </row>
    <row r="4" ht="26.15" customHeight="1" spans="1:17">
      <c r="A4" s="10"/>
      <c r="B4" s="18"/>
      <c r="C4" s="19"/>
      <c r="D4" s="13"/>
      <c r="E4" s="10"/>
      <c r="F4" s="18"/>
      <c r="G4" s="13"/>
      <c r="H4" s="13"/>
      <c r="I4" s="10"/>
      <c r="J4" s="14" t="s">
        <v>355</v>
      </c>
      <c r="K4" s="14" t="s">
        <v>555</v>
      </c>
      <c r="L4" s="14" t="s">
        <v>555</v>
      </c>
    </row>
    <row r="5" s="4" customFormat="1" ht="28" customHeight="1" spans="1:17">
      <c r="A5" s="20" t="s">
        <v>614</v>
      </c>
      <c r="B5" s="21" t="s">
        <v>615</v>
      </c>
      <c r="C5" s="20" t="s">
        <v>616</v>
      </c>
      <c r="D5" s="22" t="s">
        <v>158</v>
      </c>
      <c r="E5" s="20" t="s">
        <v>617</v>
      </c>
      <c r="F5" s="23">
        <f>SUM(H5:H10)</f>
        <v>20</v>
      </c>
      <c r="G5" s="24" t="s">
        <v>117</v>
      </c>
      <c r="H5" s="24">
        <v>6</v>
      </c>
      <c r="I5" s="24" t="s">
        <v>118</v>
      </c>
      <c r="J5" s="25" t="s">
        <v>111</v>
      </c>
      <c r="K5" s="26" t="s">
        <v>111</v>
      </c>
      <c r="L5" s="26" t="s">
        <v>111</v>
      </c>
    </row>
    <row r="6" s="4" customFormat="1" ht="28" customHeight="1" spans="1:17">
      <c r="A6" s="27"/>
      <c r="B6" s="23"/>
      <c r="C6" s="27"/>
      <c r="D6" s="28"/>
      <c r="E6" s="27"/>
      <c r="F6" s="23"/>
      <c r="G6" s="29" t="s">
        <v>194</v>
      </c>
      <c r="H6" s="30">
        <v>4</v>
      </c>
      <c r="I6" s="30" t="s">
        <v>618</v>
      </c>
      <c r="J6" s="31"/>
      <c r="K6" s="32"/>
      <c r="L6" s="32"/>
    </row>
    <row r="7" s="4" customFormat="1" ht="28" customHeight="1" spans="1:17">
      <c r="A7" s="27"/>
      <c r="B7" s="23"/>
      <c r="C7" s="27"/>
      <c r="D7" s="28"/>
      <c r="E7" s="27"/>
      <c r="F7" s="23"/>
      <c r="G7" s="30" t="s">
        <v>619</v>
      </c>
      <c r="H7" s="30">
        <v>1</v>
      </c>
      <c r="I7" s="30" t="s">
        <v>620</v>
      </c>
      <c r="J7" s="31"/>
      <c r="K7" s="32"/>
      <c r="L7" s="32"/>
    </row>
    <row r="8" s="4" customFormat="1" ht="23.25" customHeight="1" spans="1:17">
      <c r="A8" s="27"/>
      <c r="B8" s="23"/>
      <c r="C8" s="27"/>
      <c r="D8" s="28"/>
      <c r="E8" s="27"/>
      <c r="F8" s="23"/>
      <c r="G8" s="30" t="s">
        <v>621</v>
      </c>
      <c r="H8" s="30">
        <v>1</v>
      </c>
      <c r="I8" s="30" t="s">
        <v>622</v>
      </c>
      <c r="J8" s="31"/>
      <c r="K8" s="32"/>
      <c r="L8" s="32"/>
      <c r="O8"/>
      <c r="P8"/>
      <c r="Q8"/>
    </row>
    <row r="9" s="4" customFormat="1" ht="23.25" customHeight="1" spans="1:17">
      <c r="A9" s="27"/>
      <c r="B9" s="23"/>
      <c r="C9" s="27"/>
      <c r="D9" s="28"/>
      <c r="E9" s="27"/>
      <c r="F9" s="23"/>
      <c r="G9" s="30" t="s">
        <v>623</v>
      </c>
      <c r="H9" s="30">
        <v>4</v>
      </c>
      <c r="I9" s="30" t="s">
        <v>624</v>
      </c>
      <c r="J9" s="31"/>
      <c r="K9" s="32"/>
      <c r="L9" s="32"/>
    </row>
    <row r="10" s="4" customFormat="1" ht="23.25" customHeight="1" spans="1:17">
      <c r="A10" s="33"/>
      <c r="B10" s="34"/>
      <c r="C10" s="33"/>
      <c r="D10" s="35"/>
      <c r="E10" s="33"/>
      <c r="F10" s="34"/>
      <c r="G10" s="30" t="s">
        <v>625</v>
      </c>
      <c r="H10" s="30">
        <v>4</v>
      </c>
      <c r="I10" s="30" t="s">
        <v>626</v>
      </c>
      <c r="J10" s="31"/>
      <c r="K10" s="32"/>
      <c r="L10" s="32"/>
    </row>
    <row r="11" s="5" customFormat="1" ht="23.25" customHeight="1" spans="1:17">
      <c r="A11" s="36" t="s">
        <v>258</v>
      </c>
      <c r="B11" s="37" t="s">
        <v>259</v>
      </c>
      <c r="C11" s="38" t="s">
        <v>627</v>
      </c>
      <c r="D11" s="39" t="s">
        <v>124</v>
      </c>
      <c r="E11" s="40" t="s">
        <v>628</v>
      </c>
      <c r="F11" s="37">
        <v>6</v>
      </c>
      <c r="G11" s="36" t="s">
        <v>258</v>
      </c>
      <c r="H11" s="30">
        <v>6</v>
      </c>
      <c r="I11" s="41" t="s">
        <v>259</v>
      </c>
      <c r="J11" s="42"/>
      <c r="K11" s="42"/>
      <c r="L11" s="42" t="s">
        <v>111</v>
      </c>
    </row>
    <row r="12" ht="22" customHeight="1" spans="1:17">
      <c r="A12" s="43" t="s">
        <v>629</v>
      </c>
      <c r="B12" s="44" t="s">
        <v>630</v>
      </c>
      <c r="C12" s="44" t="s">
        <v>627</v>
      </c>
      <c r="D12" s="45" t="s">
        <v>124</v>
      </c>
      <c r="E12" s="40"/>
      <c r="F12" s="44">
        <f>SUM(H12:H24)</f>
        <v>49</v>
      </c>
      <c r="G12" s="36" t="s">
        <v>117</v>
      </c>
      <c r="H12" s="36">
        <v>6</v>
      </c>
      <c r="I12" s="41" t="s">
        <v>631</v>
      </c>
      <c r="J12" s="46"/>
      <c r="K12" s="46"/>
      <c r="L12" s="45" t="s">
        <v>111</v>
      </c>
    </row>
    <row r="13" ht="31.2" spans="1:17">
      <c r="A13" s="43"/>
      <c r="B13" s="44"/>
      <c r="C13" s="44"/>
      <c r="D13" s="46"/>
      <c r="E13" s="40"/>
      <c r="F13" s="44"/>
      <c r="G13" s="36" t="s">
        <v>144</v>
      </c>
      <c r="H13" s="36">
        <v>2</v>
      </c>
      <c r="I13" s="47" t="s">
        <v>632</v>
      </c>
      <c r="J13" s="46"/>
      <c r="K13" s="46"/>
      <c r="L13" s="46"/>
    </row>
    <row r="14" ht="31.2" spans="1:17">
      <c r="A14" s="43"/>
      <c r="B14" s="44"/>
      <c r="C14" s="44"/>
      <c r="D14" s="46"/>
      <c r="E14" s="40"/>
      <c r="F14" s="44"/>
      <c r="G14" s="36" t="s">
        <v>148</v>
      </c>
      <c r="H14" s="48">
        <v>2</v>
      </c>
      <c r="I14" s="49" t="s">
        <v>633</v>
      </c>
      <c r="J14" s="46"/>
      <c r="K14" s="46"/>
      <c r="L14" s="46"/>
    </row>
    <row r="15" ht="14.25" customHeight="1" spans="1:17">
      <c r="A15" s="43"/>
      <c r="B15" s="44"/>
      <c r="C15" s="44"/>
      <c r="D15" s="46"/>
      <c r="E15" s="40"/>
      <c r="F15" s="44"/>
      <c r="G15" s="50" t="s">
        <v>49</v>
      </c>
      <c r="H15" s="50">
        <v>1</v>
      </c>
      <c r="I15" s="51" t="s">
        <v>222</v>
      </c>
      <c r="J15" s="46"/>
      <c r="K15" s="46"/>
      <c r="L15" s="46"/>
    </row>
    <row r="16" ht="35.15" customHeight="1" spans="1:17">
      <c r="A16" s="43"/>
      <c r="B16" s="44"/>
      <c r="C16" s="44"/>
      <c r="D16" s="46"/>
      <c r="E16" s="40"/>
      <c r="F16" s="44"/>
      <c r="G16" s="52" t="s">
        <v>251</v>
      </c>
      <c r="H16" s="44">
        <v>5</v>
      </c>
      <c r="I16" s="47" t="s">
        <v>634</v>
      </c>
      <c r="J16" s="46"/>
      <c r="K16" s="46"/>
      <c r="L16" s="46"/>
    </row>
    <row r="17" ht="35.15" customHeight="1" spans="1:12">
      <c r="A17" s="43"/>
      <c r="B17" s="44"/>
      <c r="C17" s="44"/>
      <c r="D17" s="46"/>
      <c r="E17" s="40"/>
      <c r="F17" s="44"/>
      <c r="G17" s="52" t="s">
        <v>253</v>
      </c>
      <c r="H17" s="44">
        <v>5</v>
      </c>
      <c r="I17" s="47" t="s">
        <v>635</v>
      </c>
      <c r="J17" s="46"/>
      <c r="K17" s="46"/>
      <c r="L17" s="46"/>
    </row>
    <row r="18" ht="22" customHeight="1" spans="1:12">
      <c r="A18" s="43"/>
      <c r="B18" s="44"/>
      <c r="C18" s="44"/>
      <c r="D18" s="46"/>
      <c r="E18" s="40"/>
      <c r="F18" s="44"/>
      <c r="G18" s="52" t="s">
        <v>255</v>
      </c>
      <c r="H18" s="44">
        <v>3</v>
      </c>
      <c r="I18" s="47" t="s">
        <v>636</v>
      </c>
      <c r="J18" s="46"/>
      <c r="K18" s="46"/>
      <c r="L18" s="46"/>
    </row>
    <row r="19" ht="31.5" customHeight="1" spans="1:12">
      <c r="A19" s="43"/>
      <c r="B19" s="44"/>
      <c r="C19" s="44"/>
      <c r="D19" s="46"/>
      <c r="E19" s="40"/>
      <c r="F19" s="44"/>
      <c r="G19" s="53" t="s">
        <v>194</v>
      </c>
      <c r="H19" s="54">
        <v>4</v>
      </c>
      <c r="I19" s="55" t="s">
        <v>637</v>
      </c>
      <c r="J19" s="46"/>
      <c r="K19" s="46"/>
      <c r="L19" s="46"/>
    </row>
    <row r="20" ht="33" customHeight="1" spans="1:12">
      <c r="A20" s="43"/>
      <c r="B20" s="44"/>
      <c r="C20" s="44"/>
      <c r="D20" s="46"/>
      <c r="E20" s="40"/>
      <c r="F20" s="44"/>
      <c r="G20" s="53" t="s">
        <v>129</v>
      </c>
      <c r="H20" s="54">
        <v>4</v>
      </c>
      <c r="I20" s="55" t="s">
        <v>638</v>
      </c>
      <c r="J20" s="46"/>
      <c r="K20" s="46"/>
      <c r="L20" s="46"/>
    </row>
    <row r="21" ht="33" customHeight="1" spans="1:12">
      <c r="A21" s="43"/>
      <c r="B21" s="44"/>
      <c r="C21" s="44"/>
      <c r="D21" s="46"/>
      <c r="E21" s="40"/>
      <c r="F21" s="44"/>
      <c r="G21" s="53" t="s">
        <v>177</v>
      </c>
      <c r="H21" s="54">
        <v>5</v>
      </c>
      <c r="I21" s="55" t="s">
        <v>639</v>
      </c>
      <c r="J21" s="46"/>
      <c r="K21" s="46"/>
      <c r="L21" s="46"/>
    </row>
    <row r="22" ht="46.8" spans="1:12">
      <c r="A22" s="43"/>
      <c r="B22" s="44"/>
      <c r="C22" s="44"/>
      <c r="D22" s="46"/>
      <c r="E22" s="40"/>
      <c r="F22" s="44"/>
      <c r="G22" s="53" t="s">
        <v>180</v>
      </c>
      <c r="H22" s="54">
        <v>5</v>
      </c>
      <c r="I22" s="55" t="s">
        <v>640</v>
      </c>
      <c r="J22" s="46"/>
      <c r="K22" s="46"/>
      <c r="L22" s="46"/>
    </row>
    <row r="23" ht="62.4" spans="1:12">
      <c r="A23" s="43"/>
      <c r="B23" s="44"/>
      <c r="C23" s="44"/>
      <c r="D23" s="46"/>
      <c r="E23" s="40"/>
      <c r="F23" s="44"/>
      <c r="G23" s="53" t="s">
        <v>182</v>
      </c>
      <c r="H23" s="54">
        <v>3</v>
      </c>
      <c r="I23" s="55" t="s">
        <v>641</v>
      </c>
      <c r="J23" s="46"/>
      <c r="K23" s="46"/>
      <c r="L23" s="46"/>
    </row>
    <row r="24" ht="46.8" spans="1:12">
      <c r="A24" s="43"/>
      <c r="B24" s="44"/>
      <c r="C24" s="44"/>
      <c r="D24" s="46"/>
      <c r="E24" s="40"/>
      <c r="F24" s="44"/>
      <c r="G24" s="53" t="s">
        <v>51</v>
      </c>
      <c r="H24" s="54">
        <v>4</v>
      </c>
      <c r="I24" s="55" t="s">
        <v>173</v>
      </c>
      <c r="J24" s="46"/>
      <c r="K24" s="46"/>
      <c r="L24" s="46"/>
    </row>
    <row r="25" ht="37" customHeight="1" spans="1:12">
      <c r="A25" s="56" t="s">
        <v>642</v>
      </c>
      <c r="B25" s="57" t="s">
        <v>643</v>
      </c>
      <c r="C25" s="38" t="s">
        <v>627</v>
      </c>
      <c r="D25" s="45" t="s">
        <v>124</v>
      </c>
      <c r="E25" s="40"/>
      <c r="F25" s="38">
        <f>SUM(H25:H26)</f>
        <v>10</v>
      </c>
      <c r="G25" s="52" t="s">
        <v>247</v>
      </c>
      <c r="H25" s="36">
        <v>5</v>
      </c>
      <c r="I25" s="47" t="s">
        <v>644</v>
      </c>
      <c r="J25" s="46"/>
      <c r="K25" s="46"/>
      <c r="L25" s="45" t="s">
        <v>111</v>
      </c>
    </row>
    <row r="26" ht="35.15" customHeight="1" spans="1:12">
      <c r="A26" s="56"/>
      <c r="B26" s="57"/>
      <c r="C26" s="38"/>
      <c r="D26" s="46"/>
      <c r="E26" s="40"/>
      <c r="F26" s="38"/>
      <c r="G26" s="52" t="s">
        <v>249</v>
      </c>
      <c r="H26" s="36">
        <v>5</v>
      </c>
      <c r="I26" s="47" t="s">
        <v>645</v>
      </c>
      <c r="J26" s="46"/>
      <c r="K26" s="46"/>
      <c r="L26" s="46"/>
    </row>
    <row r="27" ht="35.15" customHeight="1" spans="1:12">
      <c r="A27" s="36" t="s">
        <v>13</v>
      </c>
      <c r="B27" s="57" t="s">
        <v>470</v>
      </c>
      <c r="C27" s="38" t="s">
        <v>627</v>
      </c>
      <c r="D27" s="45" t="s">
        <v>124</v>
      </c>
      <c r="E27" s="40"/>
      <c r="F27" s="38">
        <v>3</v>
      </c>
      <c r="G27" s="36" t="s">
        <v>13</v>
      </c>
      <c r="H27" s="44">
        <v>3</v>
      </c>
      <c r="I27" s="58" t="s">
        <v>646</v>
      </c>
      <c r="J27" s="46"/>
      <c r="K27" s="46"/>
      <c r="L27" s="45" t="s">
        <v>111</v>
      </c>
    </row>
    <row r="28" ht="15.6" spans="1:12">
      <c r="A28" s="59" t="s">
        <v>47</v>
      </c>
      <c r="B28" s="60" t="s">
        <v>647</v>
      </c>
      <c r="C28" s="45" t="s">
        <v>627</v>
      </c>
      <c r="D28" s="45" t="s">
        <v>124</v>
      </c>
      <c r="E28" s="40"/>
      <c r="F28" s="46">
        <v>90</v>
      </c>
      <c r="G28" s="61" t="s">
        <v>593</v>
      </c>
      <c r="H28" s="62">
        <v>9</v>
      </c>
      <c r="I28" s="62" t="s">
        <v>647</v>
      </c>
      <c r="J28" s="46"/>
      <c r="K28" s="46"/>
      <c r="L28" s="45" t="s">
        <v>111</v>
      </c>
    </row>
    <row r="29" ht="15.6" spans="1:12">
      <c r="A29" s="59"/>
      <c r="B29" s="60"/>
      <c r="C29" s="45"/>
      <c r="D29" s="45"/>
      <c r="E29" s="40"/>
      <c r="F29" s="46"/>
      <c r="G29" s="61" t="s">
        <v>593</v>
      </c>
      <c r="H29" s="62">
        <v>9</v>
      </c>
      <c r="I29" s="62"/>
      <c r="J29" s="46"/>
      <c r="K29" s="46"/>
      <c r="L29" s="45"/>
    </row>
    <row r="30" ht="15.6" spans="1:12">
      <c r="A30" s="59"/>
      <c r="B30" s="60"/>
      <c r="C30" s="45"/>
      <c r="D30" s="45"/>
      <c r="E30" s="40"/>
      <c r="F30" s="46"/>
      <c r="G30" s="61" t="s">
        <v>593</v>
      </c>
      <c r="H30" s="62">
        <v>9</v>
      </c>
      <c r="I30" s="62"/>
      <c r="J30" s="46"/>
      <c r="K30" s="46"/>
      <c r="L30" s="45"/>
    </row>
    <row r="31" ht="15.6" spans="1:12">
      <c r="A31" s="59"/>
      <c r="B31" s="60"/>
      <c r="C31" s="45"/>
      <c r="D31" s="45"/>
      <c r="E31" s="40"/>
      <c r="F31" s="46"/>
      <c r="G31" s="61" t="s">
        <v>593</v>
      </c>
      <c r="H31" s="62">
        <v>9</v>
      </c>
      <c r="I31" s="62"/>
      <c r="J31" s="46"/>
      <c r="K31" s="46"/>
      <c r="L31" s="45"/>
    </row>
    <row r="32" ht="15.6" spans="1:12">
      <c r="A32" s="59"/>
      <c r="B32" s="60"/>
      <c r="C32" s="45"/>
      <c r="D32" s="45"/>
      <c r="E32" s="40"/>
      <c r="F32" s="46"/>
      <c r="G32" s="61" t="s">
        <v>593</v>
      </c>
      <c r="H32" s="62">
        <v>9</v>
      </c>
      <c r="I32" s="62"/>
      <c r="J32" s="46"/>
      <c r="K32" s="46"/>
      <c r="L32" s="45"/>
    </row>
    <row r="33" ht="15.6" spans="1:12">
      <c r="A33" s="59"/>
      <c r="B33" s="60"/>
      <c r="C33" s="45"/>
      <c r="D33" s="45"/>
      <c r="E33" s="40"/>
      <c r="F33" s="46"/>
      <c r="G33" s="61" t="s">
        <v>593</v>
      </c>
      <c r="H33" s="62">
        <v>9</v>
      </c>
      <c r="I33" s="62"/>
      <c r="J33" s="46"/>
      <c r="K33" s="46"/>
      <c r="L33" s="45"/>
    </row>
    <row r="34" ht="15.6" spans="1:12">
      <c r="A34" s="59"/>
      <c r="B34" s="60"/>
      <c r="C34" s="45"/>
      <c r="D34" s="45"/>
      <c r="E34" s="40"/>
      <c r="F34" s="46"/>
      <c r="G34" s="61" t="s">
        <v>593</v>
      </c>
      <c r="H34" s="62">
        <v>9</v>
      </c>
      <c r="I34" s="62"/>
      <c r="J34" s="46"/>
      <c r="K34" s="46"/>
      <c r="L34" s="45"/>
    </row>
    <row r="35" ht="15.6" spans="1:12">
      <c r="A35" s="59"/>
      <c r="B35" s="60"/>
      <c r="C35" s="45"/>
      <c r="D35" s="45"/>
      <c r="E35" s="40"/>
      <c r="F35" s="46"/>
      <c r="G35" s="61" t="s">
        <v>593</v>
      </c>
      <c r="H35" s="62">
        <v>9</v>
      </c>
      <c r="I35" s="62"/>
      <c r="J35" s="46"/>
      <c r="K35" s="46"/>
      <c r="L35" s="45"/>
    </row>
    <row r="36" ht="15.6" spans="1:12">
      <c r="A36" s="59"/>
      <c r="B36" s="60"/>
      <c r="C36" s="45"/>
      <c r="D36" s="45"/>
      <c r="E36" s="40"/>
      <c r="F36" s="46"/>
      <c r="G36" s="61" t="s">
        <v>593</v>
      </c>
      <c r="H36" s="62">
        <v>9</v>
      </c>
      <c r="I36" s="62"/>
      <c r="J36" s="46"/>
      <c r="K36" s="46"/>
      <c r="L36" s="45"/>
    </row>
    <row r="37" ht="15.6" spans="1:12">
      <c r="A37" s="59"/>
      <c r="B37" s="60"/>
      <c r="C37" s="45"/>
      <c r="D37" s="45"/>
      <c r="E37" s="40"/>
      <c r="F37" s="46"/>
      <c r="G37" s="61" t="s">
        <v>593</v>
      </c>
      <c r="H37" s="62">
        <v>9</v>
      </c>
      <c r="I37" s="62"/>
      <c r="J37" s="46"/>
      <c r="K37" s="46"/>
      <c r="L37" s="45"/>
    </row>
  </sheetData>
  <mergeCells count="47">
    <mergeCell ref="A1:I1"/>
    <mergeCell ref="J1:L1"/>
    <mergeCell ref="K2:L2"/>
    <mergeCell ref="A2:A4"/>
    <mergeCell ref="A5:A10"/>
    <mergeCell ref="A12:A24"/>
    <mergeCell ref="A25:A26"/>
    <mergeCell ref="A28:A37"/>
    <mergeCell ref="B2:B4"/>
    <mergeCell ref="B5:B10"/>
    <mergeCell ref="B12:B24"/>
    <mergeCell ref="B25:B26"/>
    <mergeCell ref="B28:B37"/>
    <mergeCell ref="C2:C4"/>
    <mergeCell ref="C5:C10"/>
    <mergeCell ref="C12:C24"/>
    <mergeCell ref="C25:C26"/>
    <mergeCell ref="C28:C37"/>
    <mergeCell ref="D2:D4"/>
    <mergeCell ref="D5:D10"/>
    <mergeCell ref="D12:D24"/>
    <mergeCell ref="D25:D26"/>
    <mergeCell ref="D28:D37"/>
    <mergeCell ref="E2:E4"/>
    <mergeCell ref="E5:E10"/>
    <mergeCell ref="E11:E37"/>
    <mergeCell ref="F2:F4"/>
    <mergeCell ref="F5:F10"/>
    <mergeCell ref="F12:F24"/>
    <mergeCell ref="F25:F26"/>
    <mergeCell ref="F28:F37"/>
    <mergeCell ref="G2:G4"/>
    <mergeCell ref="H2:H4"/>
    <mergeCell ref="I2:I4"/>
    <mergeCell ref="I28:I37"/>
    <mergeCell ref="J5:J10"/>
    <mergeCell ref="J12:J24"/>
    <mergeCell ref="J25:J26"/>
    <mergeCell ref="J28:J37"/>
    <mergeCell ref="K5:K10"/>
    <mergeCell ref="K12:K24"/>
    <mergeCell ref="K25:K26"/>
    <mergeCell ref="K28:K37"/>
    <mergeCell ref="L5:L10"/>
    <mergeCell ref="L12:L24"/>
    <mergeCell ref="L25:L26"/>
    <mergeCell ref="L28:L37"/>
  </mergeCells>
  <pageMargins left="0.75" right="0.75" top="1" bottom="1" header="0.511805555555556" footer="0.511805555555556"/>
  <pageSetup paperSize="9" orientation="portrait"/>
  <headerFooter/>
  <ignoredErrors>
    <ignoredError sqref="A1:Q37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T22"/>
  <sheetViews>
    <sheetView zoomScale="85" zoomScaleNormal="85" workbookViewId="0">
      <selection activeCell="V17" sqref="V17"/>
    </sheetView>
  </sheetViews>
  <sheetFormatPr defaultColWidth="9" defaultRowHeight="13.8"/>
  <cols>
    <col min="1" max="16384" width="9" style="1"/>
  </cols>
  <sheetData>
    <row r="2" spans="1:20">
      <c r="A2" s="2" t="s">
        <v>648</v>
      </c>
    </row>
    <row r="3" spans="1:20">
      <c r="Q3" s="2" t="s">
        <v>649</v>
      </c>
    </row>
    <row r="4" spans="1:20">
      <c r="Q4" s="2" t="s">
        <v>650</v>
      </c>
      <c r="T4" s="2" t="s">
        <v>651</v>
      </c>
    </row>
    <row r="5" spans="1:20">
      <c r="Q5" s="2" t="s">
        <v>652</v>
      </c>
      <c r="T5" s="2" t="s">
        <v>653</v>
      </c>
    </row>
    <row r="6" spans="1:20">
      <c r="Q6" s="2" t="s">
        <v>118</v>
      </c>
      <c r="T6" s="2" t="s">
        <v>654</v>
      </c>
    </row>
    <row r="7" spans="1:20">
      <c r="Q7" s="2" t="s">
        <v>140</v>
      </c>
      <c r="T7" s="2" t="s">
        <v>655</v>
      </c>
    </row>
    <row r="8" spans="1:20">
      <c r="Q8" s="2" t="s">
        <v>157</v>
      </c>
      <c r="T8" s="2" t="s">
        <v>656</v>
      </c>
    </row>
    <row r="9" spans="1:20">
      <c r="Q9" s="3" t="s">
        <v>175</v>
      </c>
      <c r="T9" s="2" t="s">
        <v>657</v>
      </c>
    </row>
    <row r="10" spans="1:20">
      <c r="Q10" s="3" t="s">
        <v>658</v>
      </c>
    </row>
    <row r="11" spans="1:20">
      <c r="Q11" s="3" t="s">
        <v>659</v>
      </c>
    </row>
    <row r="12" spans="1:20">
      <c r="Q12" s="2" t="s">
        <v>660</v>
      </c>
    </row>
    <row r="13" spans="1:20">
      <c r="Q13" s="3" t="s">
        <v>661</v>
      </c>
    </row>
    <row r="14" spans="1:20">
      <c r="Q14" s="3" t="s">
        <v>662</v>
      </c>
    </row>
    <row r="15" spans="1:20">
      <c r="Q15" s="3" t="s">
        <v>663</v>
      </c>
    </row>
    <row r="16" spans="1:20">
      <c r="Q16" s="3" t="s">
        <v>664</v>
      </c>
    </row>
    <row r="17" spans="17:17">
      <c r="Q17" s="2"/>
    </row>
    <row r="18" spans="17:17">
      <c r="Q18" s="3" t="s">
        <v>665</v>
      </c>
    </row>
    <row r="19" spans="17:17">
      <c r="Q19" s="3" t="s">
        <v>666</v>
      </c>
    </row>
    <row r="20" spans="17:17">
      <c r="Q20" s="2" t="s">
        <v>667</v>
      </c>
    </row>
    <row r="21" spans="17:17">
      <c r="Q21" s="2" t="s">
        <v>261</v>
      </c>
    </row>
    <row r="22" spans="17:17">
      <c r="Q22" s="2" t="s">
        <v>668</v>
      </c>
    </row>
  </sheetData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 Edit history</vt:lpstr>
      <vt:lpstr> Simple Data Objects</vt:lpstr>
      <vt:lpstr> Composite data objects</vt:lpstr>
      <vt:lpstr> Composite bit object</vt:lpstr>
      <vt:lpstr> array of objects</vt:lpstr>
      <vt:lpstr> Firmware upgrade</vt:lpstr>
      <vt:lpstr> Record</vt:lpstr>
      <vt:lpstr> Dataset ID</vt:lpstr>
      <vt:lpstr> Set parameters for the whole 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周羽波</dc:creator>
  <cp:lastModifiedBy>G012269</cp:lastModifiedBy>
  <dcterms:created xsi:type="dcterms:W3CDTF">2019-05-09T05:41:00Z</dcterms:created>
  <dcterms:modified xsi:type="dcterms:W3CDTF">2026-02-11T03:01:40Z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87ECA40131AF443FA674BAB2564CD0F2</vt:lpwstr>
  </property>
  <property fmtid="{D5CDD505-2E9C-101B-9397-08002B2CF9AE}" pid="4" name="CalculationRule">
    <vt:i4>0</vt:i4>
  </property>
</Properties>
</file>